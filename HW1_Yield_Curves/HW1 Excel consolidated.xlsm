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MAIN USB/NUS/EC4333HM Financial Economics II/Homework/"/>
    </mc:Choice>
  </mc:AlternateContent>
  <xr:revisionPtr revIDLastSave="0" documentId="13_ncr:1_{71A96256-D3D3-2447-9D13-82AC0ED51007}" xr6:coauthVersionLast="47" xr6:coauthVersionMax="47" xr10:uidLastSave="{00000000-0000-0000-0000-000000000000}"/>
  <bookViews>
    <workbookView xWindow="0" yWindow="740" windowWidth="29400" windowHeight="16740" activeTab="2" xr2:uid="{00000000-000D-0000-FFFF-FFFF00000000}"/>
  </bookViews>
  <sheets>
    <sheet name="Q1" sheetId="1" r:id="rId1"/>
    <sheet name="Q2" sheetId="2" r:id="rId2"/>
    <sheet name="Q3(a) &amp; (b)" sheetId="3" r:id="rId3"/>
    <sheet name="Q3(c) &amp; (d)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PpmdNMo7SHW6hM8pS5oz8hgqmIbiyxXfoC9/cA5BTCE="/>
    </ext>
  </extLst>
</workbook>
</file>

<file path=xl/calcChain.xml><?xml version="1.0" encoding="utf-8"?>
<calcChain xmlns="http://schemas.openxmlformats.org/spreadsheetml/2006/main">
  <c r="F58" i="4" l="1"/>
  <c r="E58" i="4"/>
  <c r="D58" i="4"/>
  <c r="C58" i="4"/>
  <c r="B58" i="4"/>
  <c r="A58" i="4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E12" i="2"/>
  <c r="D12" i="2"/>
  <c r="C12" i="2"/>
  <c r="L11" i="2"/>
  <c r="F11" i="2"/>
  <c r="E11" i="2"/>
  <c r="D11" i="2"/>
  <c r="C11" i="2"/>
  <c r="L10" i="2"/>
  <c r="E10" i="2"/>
  <c r="D10" i="2"/>
  <c r="C10" i="2"/>
  <c r="E9" i="2"/>
  <c r="D9" i="2"/>
  <c r="C9" i="2"/>
  <c r="F9" i="2" s="1"/>
  <c r="E8" i="2"/>
  <c r="D8" i="2"/>
  <c r="C8" i="2"/>
  <c r="M7" i="2"/>
  <c r="L7" i="2"/>
  <c r="K7" i="2"/>
  <c r="N7" i="2" s="1"/>
  <c r="E7" i="2"/>
  <c r="D7" i="2"/>
  <c r="C7" i="2"/>
  <c r="M6" i="2"/>
  <c r="L6" i="2"/>
  <c r="K6" i="2"/>
  <c r="N6" i="2" s="1"/>
  <c r="E6" i="2"/>
  <c r="D6" i="2"/>
  <c r="C6" i="2"/>
  <c r="F6" i="2" s="1"/>
  <c r="M5" i="2"/>
  <c r="L5" i="2"/>
  <c r="K5" i="2"/>
  <c r="N5" i="2" s="1"/>
  <c r="E5" i="2"/>
  <c r="D5" i="2"/>
  <c r="C5" i="2"/>
  <c r="M4" i="2"/>
  <c r="L4" i="2"/>
  <c r="K4" i="2"/>
  <c r="N4" i="2" s="1"/>
  <c r="E4" i="2"/>
  <c r="D4" i="2"/>
  <c r="C4" i="2"/>
  <c r="M3" i="2"/>
  <c r="L3" i="2"/>
  <c r="K3" i="2"/>
  <c r="N3" i="2" s="1"/>
  <c r="E3" i="2"/>
  <c r="D3" i="2"/>
  <c r="C3" i="2"/>
  <c r="M2" i="2"/>
  <c r="L2" i="2"/>
  <c r="K2" i="2"/>
  <c r="N2" i="2" s="1"/>
  <c r="E2" i="2"/>
  <c r="D2" i="2"/>
  <c r="C2" i="2"/>
  <c r="F2" i="2" s="1"/>
  <c r="H12" i="1"/>
  <c r="G12" i="1"/>
  <c r="E12" i="1"/>
  <c r="F12" i="1" s="1"/>
  <c r="C12" i="1"/>
  <c r="D12" i="1" s="1"/>
  <c r="J11" i="1"/>
  <c r="I11" i="1"/>
  <c r="H11" i="1"/>
  <c r="G11" i="1"/>
  <c r="E11" i="1"/>
  <c r="F11" i="1" s="1"/>
  <c r="C11" i="1"/>
  <c r="D11" i="1" s="1"/>
  <c r="J10" i="1"/>
  <c r="I10" i="1"/>
  <c r="H10" i="1"/>
  <c r="G10" i="1"/>
  <c r="C10" i="1"/>
  <c r="D10" i="1" s="1"/>
  <c r="E10" i="1" s="1"/>
  <c r="F10" i="1" s="1"/>
  <c r="J9" i="1"/>
  <c r="I9" i="1"/>
  <c r="H9" i="1"/>
  <c r="G9" i="1"/>
  <c r="C9" i="1"/>
  <c r="D9" i="1" s="1"/>
  <c r="I8" i="1"/>
  <c r="H8" i="1"/>
  <c r="J8" i="1" s="1"/>
  <c r="G8" i="1"/>
  <c r="C8" i="1"/>
  <c r="D8" i="1" s="1"/>
  <c r="E9" i="1" s="1"/>
  <c r="F9" i="1" s="1"/>
  <c r="I7" i="1"/>
  <c r="H7" i="1"/>
  <c r="J7" i="1" s="1"/>
  <c r="G7" i="1"/>
  <c r="D7" i="1"/>
  <c r="E7" i="1" s="1"/>
  <c r="F7" i="1" s="1"/>
  <c r="C7" i="1"/>
  <c r="I6" i="1"/>
  <c r="H6" i="1"/>
  <c r="J6" i="1" s="1"/>
  <c r="G6" i="1"/>
  <c r="D6" i="1"/>
  <c r="E6" i="1" s="1"/>
  <c r="F6" i="1" s="1"/>
  <c r="C6" i="1"/>
  <c r="I5" i="1"/>
  <c r="H5" i="1"/>
  <c r="J5" i="1" s="1"/>
  <c r="G5" i="1"/>
  <c r="D5" i="1"/>
  <c r="E5" i="1" s="1"/>
  <c r="F5" i="1" s="1"/>
  <c r="C5" i="1"/>
  <c r="I4" i="1"/>
  <c r="H4" i="1"/>
  <c r="J4" i="1" s="1"/>
  <c r="G4" i="1"/>
  <c r="D4" i="1"/>
  <c r="E4" i="1" s="1"/>
  <c r="F4" i="1" s="1"/>
  <c r="C4" i="1"/>
  <c r="I3" i="1"/>
  <c r="H3" i="1"/>
  <c r="J3" i="1" s="1"/>
  <c r="G3" i="1"/>
  <c r="D3" i="1"/>
  <c r="E3" i="1" s="1"/>
  <c r="F3" i="1" s="1"/>
  <c r="C3" i="1"/>
  <c r="B25" i="4" a="1"/>
  <c r="B17" i="4" a="1"/>
  <c r="B9" i="4" a="1"/>
  <c r="B27" i="3" a="1"/>
  <c r="B19" i="3" a="1"/>
  <c r="B13" i="3" a="1"/>
  <c r="B22" i="4" a="1"/>
  <c r="B14" i="4" a="1"/>
  <c r="B17" i="3" a="1"/>
  <c r="B16" i="3" a="1"/>
  <c r="B20" i="4" a="1"/>
  <c r="B25" i="3" a="1"/>
  <c r="B19" i="4" a="1"/>
  <c r="B14" i="3" a="1"/>
  <c r="B24" i="4" a="1"/>
  <c r="B16" i="4" a="1"/>
  <c r="B8" i="4" a="1"/>
  <c r="B23" i="3" a="1"/>
  <c r="B18" i="3" a="1"/>
  <c r="B12" i="3" a="1"/>
  <c r="B9" i="3" a="1"/>
  <c r="B22" i="3" a="1"/>
  <c r="B21" i="4" a="1"/>
  <c r="B23" i="4" a="1"/>
  <c r="B15" i="4" a="1"/>
  <c r="B26" i="3" a="1"/>
  <c r="B11" i="3" a="1"/>
  <c r="B13" i="4" a="1"/>
  <c r="B21" i="3" a="1"/>
  <c r="B11" i="4" a="1"/>
  <c r="B26" i="4" a="1"/>
  <c r="B18" i="4" a="1"/>
  <c r="B10" i="4" a="1"/>
  <c r="B24" i="3" a="1"/>
  <c r="B20" i="3" a="1"/>
  <c r="B10" i="3" a="1"/>
  <c r="B8" i="3" a="1"/>
  <c r="B12" i="4" a="1"/>
  <c r="B15" i="3" a="1"/>
  <c r="B27" i="4" a="1"/>
  <c r="B27" i="4" l="1"/>
  <c r="B15" i="3"/>
  <c r="B12" i="4"/>
  <c r="B8" i="3"/>
  <c r="B10" i="3"/>
  <c r="B20" i="3"/>
  <c r="J20" i="3" s="1"/>
  <c r="J28" i="3" s="1"/>
  <c r="B24" i="3"/>
  <c r="J24" i="3" s="1"/>
  <c r="B10" i="4"/>
  <c r="M37" i="4" s="1"/>
  <c r="B18" i="4"/>
  <c r="B26" i="4"/>
  <c r="J26" i="4" s="1"/>
  <c r="B11" i="4"/>
  <c r="B21" i="3"/>
  <c r="B13" i="4"/>
  <c r="J40" i="4" s="1"/>
  <c r="B11" i="3"/>
  <c r="B26" i="3"/>
  <c r="J26" i="3" s="1"/>
  <c r="B15" i="4"/>
  <c r="B23" i="4"/>
  <c r="J23" i="4" s="1"/>
  <c r="B21" i="4"/>
  <c r="B22" i="3"/>
  <c r="J49" i="3" s="1"/>
  <c r="B9" i="3"/>
  <c r="J9" i="3" s="1"/>
  <c r="B12" i="3"/>
  <c r="M24" i="3" s="1"/>
  <c r="B18" i="3"/>
  <c r="B23" i="3"/>
  <c r="J23" i="3" s="1"/>
  <c r="B8" i="4"/>
  <c r="J35" i="4" s="1"/>
  <c r="J52" i="4" s="1"/>
  <c r="B16" i="4"/>
  <c r="B24" i="4"/>
  <c r="J24" i="4" s="1"/>
  <c r="B14" i="3"/>
  <c r="B19" i="4"/>
  <c r="J46" i="4" s="1"/>
  <c r="B25" i="3"/>
  <c r="J25" i="3" s="1"/>
  <c r="B20" i="4"/>
  <c r="B16" i="3"/>
  <c r="J43" i="3" s="1"/>
  <c r="B17" i="3"/>
  <c r="J44" i="3" s="1"/>
  <c r="B14" i="4"/>
  <c r="B22" i="4"/>
  <c r="B13" i="3"/>
  <c r="B19" i="3"/>
  <c r="M46" i="3" s="1"/>
  <c r="B27" i="3"/>
  <c r="B9" i="4"/>
  <c r="J36" i="4" s="1"/>
  <c r="B17" i="4"/>
  <c r="B25" i="4"/>
  <c r="J25" i="4" s="1"/>
  <c r="M47" i="3"/>
  <c r="M43" i="3"/>
  <c r="J38" i="3"/>
  <c r="M38" i="3"/>
  <c r="M23" i="3"/>
  <c r="J36" i="3"/>
  <c r="M36" i="3"/>
  <c r="M21" i="3"/>
  <c r="J45" i="4"/>
  <c r="M45" i="4"/>
  <c r="E8" i="1"/>
  <c r="F8" i="1" s="1"/>
  <c r="J37" i="4"/>
  <c r="M10" i="4"/>
  <c r="J10" i="4"/>
  <c r="M22" i="4"/>
  <c r="F3" i="2"/>
  <c r="F7" i="2"/>
  <c r="M40" i="3"/>
  <c r="M23" i="4"/>
  <c r="M38" i="4"/>
  <c r="J38" i="4"/>
  <c r="M46" i="4"/>
  <c r="M40" i="4"/>
  <c r="M25" i="4"/>
  <c r="M48" i="4"/>
  <c r="J48" i="4"/>
  <c r="J21" i="4"/>
  <c r="J46" i="3"/>
  <c r="F5" i="2"/>
  <c r="F10" i="2"/>
  <c r="M49" i="3"/>
  <c r="J22" i="3"/>
  <c r="M42" i="4"/>
  <c r="J42" i="4"/>
  <c r="J49" i="4"/>
  <c r="M49" i="4"/>
  <c r="J22" i="4"/>
  <c r="F12" i="2"/>
  <c r="J42" i="3"/>
  <c r="M42" i="3"/>
  <c r="M44" i="3"/>
  <c r="M8" i="4"/>
  <c r="M35" i="4"/>
  <c r="J8" i="4"/>
  <c r="M20" i="4"/>
  <c r="M43" i="4"/>
  <c r="J43" i="4"/>
  <c r="M39" i="4"/>
  <c r="J39" i="4"/>
  <c r="M24" i="4"/>
  <c r="M47" i="4"/>
  <c r="J47" i="4"/>
  <c r="J20" i="4"/>
  <c r="J41" i="4"/>
  <c r="M26" i="4"/>
  <c r="M41" i="4"/>
  <c r="F4" i="2"/>
  <c r="F8" i="2"/>
  <c r="M39" i="3"/>
  <c r="J39" i="3"/>
  <c r="M36" i="4"/>
  <c r="M21" i="4"/>
  <c r="M9" i="4"/>
  <c r="J9" i="4"/>
  <c r="M44" i="4"/>
  <c r="J44" i="4"/>
  <c r="M20" i="3"/>
  <c r="M26" i="3"/>
  <c r="J8" i="3"/>
  <c r="J10" i="3"/>
  <c r="J21" i="3"/>
  <c r="J12" i="3" l="1"/>
  <c r="M45" i="3"/>
  <c r="J45" i="3"/>
  <c r="M37" i="3"/>
  <c r="J37" i="3"/>
  <c r="M10" i="3"/>
  <c r="J48" i="3"/>
  <c r="M48" i="3"/>
  <c r="M35" i="3"/>
  <c r="M8" i="3"/>
  <c r="J35" i="3"/>
  <c r="M9" i="3"/>
  <c r="N9" i="3" s="1"/>
  <c r="R9" i="3" s="1"/>
  <c r="J47" i="3"/>
  <c r="J40" i="3"/>
  <c r="M25" i="3"/>
  <c r="M41" i="3"/>
  <c r="J41" i="3"/>
  <c r="J12" i="4"/>
  <c r="M22" i="3"/>
  <c r="J28" i="4"/>
  <c r="Q9" i="4"/>
  <c r="P9" i="4"/>
  <c r="T9" i="4" s="1"/>
  <c r="O9" i="4"/>
  <c r="S9" i="4" s="1"/>
  <c r="N9" i="4"/>
  <c r="R9" i="4" s="1"/>
  <c r="K9" i="4"/>
  <c r="Q20" i="4"/>
  <c r="P20" i="4"/>
  <c r="T20" i="4" s="1"/>
  <c r="O20" i="4"/>
  <c r="S20" i="4" s="1"/>
  <c r="N20" i="4"/>
  <c r="R20" i="4" s="1"/>
  <c r="R28" i="4" s="1"/>
  <c r="K20" i="4"/>
  <c r="N25" i="4"/>
  <c r="R25" i="4" s="1"/>
  <c r="K25" i="4"/>
  <c r="Q25" i="4"/>
  <c r="P25" i="4"/>
  <c r="T25" i="4" s="1"/>
  <c r="O25" i="4"/>
  <c r="S25" i="4" s="1"/>
  <c r="N21" i="4"/>
  <c r="R21" i="4" s="1"/>
  <c r="K21" i="4"/>
  <c r="Q21" i="4"/>
  <c r="P21" i="4"/>
  <c r="T21" i="4" s="1"/>
  <c r="O21" i="4"/>
  <c r="S21" i="4" s="1"/>
  <c r="N44" i="4"/>
  <c r="R44" i="4" s="1"/>
  <c r="K44" i="4"/>
  <c r="Q44" i="4"/>
  <c r="P44" i="4"/>
  <c r="T44" i="4" s="1"/>
  <c r="O44" i="4"/>
  <c r="S44" i="4" s="1"/>
  <c r="Q39" i="3"/>
  <c r="P39" i="3"/>
  <c r="T39" i="3" s="1"/>
  <c r="N39" i="3"/>
  <c r="R39" i="3" s="1"/>
  <c r="K39" i="3"/>
  <c r="O39" i="3"/>
  <c r="S39" i="3" s="1"/>
  <c r="Q24" i="4"/>
  <c r="P24" i="4"/>
  <c r="T24" i="4" s="1"/>
  <c r="O24" i="4"/>
  <c r="S24" i="4" s="1"/>
  <c r="N24" i="4"/>
  <c r="R24" i="4" s="1"/>
  <c r="K24" i="4"/>
  <c r="P42" i="3"/>
  <c r="T42" i="3" s="1"/>
  <c r="O42" i="3"/>
  <c r="S42" i="3" s="1"/>
  <c r="N42" i="3"/>
  <c r="R42" i="3" s="1"/>
  <c r="K42" i="3"/>
  <c r="Q42" i="3"/>
  <c r="N48" i="4"/>
  <c r="R48" i="4" s="1"/>
  <c r="K48" i="4"/>
  <c r="Q48" i="4"/>
  <c r="P48" i="4"/>
  <c r="T48" i="4" s="1"/>
  <c r="O48" i="4"/>
  <c r="S48" i="4" s="1"/>
  <c r="N23" i="4"/>
  <c r="R23" i="4" s="1"/>
  <c r="K23" i="4"/>
  <c r="Q23" i="4"/>
  <c r="P23" i="4"/>
  <c r="T23" i="4" s="1"/>
  <c r="O23" i="4"/>
  <c r="S23" i="4" s="1"/>
  <c r="P38" i="3"/>
  <c r="T38" i="3" s="1"/>
  <c r="O38" i="3"/>
  <c r="S38" i="3" s="1"/>
  <c r="N38" i="3"/>
  <c r="R38" i="3" s="1"/>
  <c r="K38" i="3"/>
  <c r="Q38" i="3"/>
  <c r="K49" i="3"/>
  <c r="Q49" i="3"/>
  <c r="P49" i="3"/>
  <c r="T49" i="3" s="1"/>
  <c r="O49" i="3"/>
  <c r="S49" i="3" s="1"/>
  <c r="N49" i="3"/>
  <c r="R49" i="3" s="1"/>
  <c r="P26" i="3"/>
  <c r="T26" i="3" s="1"/>
  <c r="O26" i="3"/>
  <c r="S26" i="3" s="1"/>
  <c r="N26" i="3"/>
  <c r="R26" i="3" s="1"/>
  <c r="K26" i="3"/>
  <c r="Q26" i="3"/>
  <c r="Q26" i="4"/>
  <c r="P26" i="4"/>
  <c r="T26" i="4" s="1"/>
  <c r="O26" i="4"/>
  <c r="S26" i="4" s="1"/>
  <c r="N26" i="4"/>
  <c r="R26" i="4" s="1"/>
  <c r="K26" i="4"/>
  <c r="P43" i="4"/>
  <c r="T43" i="4" s="1"/>
  <c r="O43" i="4"/>
  <c r="S43" i="4" s="1"/>
  <c r="N43" i="4"/>
  <c r="R43" i="4" s="1"/>
  <c r="K43" i="4"/>
  <c r="Q43" i="4"/>
  <c r="K49" i="4"/>
  <c r="Q49" i="4"/>
  <c r="P49" i="4"/>
  <c r="T49" i="4" s="1"/>
  <c r="O49" i="4"/>
  <c r="S49" i="4" s="1"/>
  <c r="N49" i="4"/>
  <c r="R49" i="4" s="1"/>
  <c r="Q42" i="4"/>
  <c r="P42" i="4"/>
  <c r="T42" i="4" s="1"/>
  <c r="O42" i="4"/>
  <c r="S42" i="4" s="1"/>
  <c r="N42" i="4"/>
  <c r="R42" i="4" s="1"/>
  <c r="K42" i="4"/>
  <c r="O40" i="3"/>
  <c r="S40" i="3" s="1"/>
  <c r="N40" i="3"/>
  <c r="R40" i="3" s="1"/>
  <c r="K40" i="3"/>
  <c r="Q40" i="3"/>
  <c r="P40" i="3"/>
  <c r="T40" i="3" s="1"/>
  <c r="N10" i="4"/>
  <c r="R10" i="4" s="1"/>
  <c r="K10" i="4"/>
  <c r="Q10" i="4"/>
  <c r="P10" i="4"/>
  <c r="T10" i="4" s="1"/>
  <c r="O10" i="4"/>
  <c r="S10" i="4" s="1"/>
  <c r="O21" i="3"/>
  <c r="S21" i="3" s="1"/>
  <c r="K21" i="3"/>
  <c r="Q21" i="3"/>
  <c r="P21" i="3"/>
  <c r="T21" i="3" s="1"/>
  <c r="N21" i="3"/>
  <c r="R21" i="3" s="1"/>
  <c r="K41" i="4"/>
  <c r="Q41" i="4"/>
  <c r="P41" i="4"/>
  <c r="T41" i="4" s="1"/>
  <c r="O41" i="4"/>
  <c r="S41" i="4" s="1"/>
  <c r="N41" i="4"/>
  <c r="R41" i="4" s="1"/>
  <c r="P39" i="4"/>
  <c r="T39" i="4" s="1"/>
  <c r="O39" i="4"/>
  <c r="S39" i="4" s="1"/>
  <c r="N39" i="4"/>
  <c r="R39" i="4" s="1"/>
  <c r="K39" i="4"/>
  <c r="Q39" i="4"/>
  <c r="N40" i="4"/>
  <c r="R40" i="4" s="1"/>
  <c r="K40" i="4"/>
  <c r="Q40" i="4"/>
  <c r="P40" i="4"/>
  <c r="T40" i="4" s="1"/>
  <c r="O40" i="4"/>
  <c r="S40" i="4" s="1"/>
  <c r="O36" i="3"/>
  <c r="S36" i="3" s="1"/>
  <c r="N36" i="3"/>
  <c r="R36" i="3" s="1"/>
  <c r="K36" i="3"/>
  <c r="Q36" i="3"/>
  <c r="P36" i="3"/>
  <c r="T36" i="3" s="1"/>
  <c r="P20" i="3"/>
  <c r="T20" i="3" s="1"/>
  <c r="O20" i="3"/>
  <c r="S20" i="3" s="1"/>
  <c r="N20" i="3"/>
  <c r="R20" i="3" s="1"/>
  <c r="K20" i="3"/>
  <c r="Q20" i="3"/>
  <c r="N8" i="4"/>
  <c r="R8" i="4" s="1"/>
  <c r="K8" i="4"/>
  <c r="K12" i="4" s="1"/>
  <c r="Q8" i="4"/>
  <c r="P8" i="4"/>
  <c r="T8" i="4" s="1"/>
  <c r="T12" i="4" s="1"/>
  <c r="O8" i="4"/>
  <c r="S8" i="4" s="1"/>
  <c r="S12" i="4" s="1"/>
  <c r="K37" i="4"/>
  <c r="Q37" i="4"/>
  <c r="P37" i="4"/>
  <c r="T37" i="4" s="1"/>
  <c r="O37" i="4"/>
  <c r="S37" i="4" s="1"/>
  <c r="N37" i="4"/>
  <c r="R37" i="4" s="1"/>
  <c r="Q47" i="3"/>
  <c r="P47" i="3"/>
  <c r="T47" i="3" s="1"/>
  <c r="N47" i="3"/>
  <c r="R47" i="3" s="1"/>
  <c r="K47" i="3"/>
  <c r="O47" i="3"/>
  <c r="S47" i="3" s="1"/>
  <c r="K45" i="4"/>
  <c r="Q45" i="4"/>
  <c r="P45" i="4"/>
  <c r="T45" i="4" s="1"/>
  <c r="O45" i="4"/>
  <c r="S45" i="4" s="1"/>
  <c r="N45" i="4"/>
  <c r="R45" i="4" s="1"/>
  <c r="O9" i="3"/>
  <c r="S9" i="3" s="1"/>
  <c r="K9" i="3"/>
  <c r="Q43" i="3"/>
  <c r="P43" i="3"/>
  <c r="T43" i="3" s="1"/>
  <c r="N43" i="3"/>
  <c r="R43" i="3" s="1"/>
  <c r="K43" i="3"/>
  <c r="O43" i="3"/>
  <c r="S43" i="3" s="1"/>
  <c r="P22" i="3"/>
  <c r="T22" i="3" s="1"/>
  <c r="O22" i="3"/>
  <c r="S22" i="3" s="1"/>
  <c r="N22" i="3"/>
  <c r="R22" i="3" s="1"/>
  <c r="K22" i="3"/>
  <c r="Q22" i="3"/>
  <c r="N36" i="4"/>
  <c r="R36" i="4" s="1"/>
  <c r="K36" i="4"/>
  <c r="Q36" i="4"/>
  <c r="P36" i="4"/>
  <c r="T36" i="4" s="1"/>
  <c r="O36" i="4"/>
  <c r="S36" i="4" s="1"/>
  <c r="P35" i="4"/>
  <c r="T35" i="4" s="1"/>
  <c r="O35" i="4"/>
  <c r="S35" i="4" s="1"/>
  <c r="S52" i="4" s="1"/>
  <c r="N35" i="4"/>
  <c r="R35" i="4" s="1"/>
  <c r="K35" i="4"/>
  <c r="K52" i="4" s="1"/>
  <c r="Q35" i="4"/>
  <c r="Q46" i="4"/>
  <c r="P46" i="4"/>
  <c r="T46" i="4" s="1"/>
  <c r="O46" i="4"/>
  <c r="S46" i="4" s="1"/>
  <c r="N46" i="4"/>
  <c r="R46" i="4" s="1"/>
  <c r="K46" i="4"/>
  <c r="P24" i="3"/>
  <c r="T24" i="3" s="1"/>
  <c r="O24" i="3"/>
  <c r="S24" i="3" s="1"/>
  <c r="N24" i="3"/>
  <c r="R24" i="3" s="1"/>
  <c r="K24" i="3"/>
  <c r="Q24" i="3"/>
  <c r="P47" i="4"/>
  <c r="T47" i="4" s="1"/>
  <c r="O47" i="4"/>
  <c r="S47" i="4" s="1"/>
  <c r="N47" i="4"/>
  <c r="R47" i="4" s="1"/>
  <c r="K47" i="4"/>
  <c r="Q47" i="4"/>
  <c r="O44" i="3"/>
  <c r="S44" i="3" s="1"/>
  <c r="N44" i="3"/>
  <c r="R44" i="3" s="1"/>
  <c r="K44" i="3"/>
  <c r="Q44" i="3"/>
  <c r="P44" i="3"/>
  <c r="T44" i="3" s="1"/>
  <c r="P46" i="3"/>
  <c r="T46" i="3" s="1"/>
  <c r="O46" i="3"/>
  <c r="S46" i="3" s="1"/>
  <c r="N46" i="3"/>
  <c r="R46" i="3" s="1"/>
  <c r="K46" i="3"/>
  <c r="Q46" i="3"/>
  <c r="Q38" i="4"/>
  <c r="P38" i="4"/>
  <c r="T38" i="4" s="1"/>
  <c r="O38" i="4"/>
  <c r="S38" i="4" s="1"/>
  <c r="N38" i="4"/>
  <c r="R38" i="4" s="1"/>
  <c r="K38" i="4"/>
  <c r="Q22" i="4"/>
  <c r="P22" i="4"/>
  <c r="T22" i="4" s="1"/>
  <c r="O22" i="4"/>
  <c r="S22" i="4" s="1"/>
  <c r="N22" i="4"/>
  <c r="R22" i="4" s="1"/>
  <c r="K22" i="4"/>
  <c r="O23" i="3"/>
  <c r="S23" i="3" s="1"/>
  <c r="K23" i="3"/>
  <c r="Q23" i="3"/>
  <c r="P23" i="3"/>
  <c r="T23" i="3" s="1"/>
  <c r="N23" i="3"/>
  <c r="R23" i="3" s="1"/>
  <c r="Q52" i="4" l="1"/>
  <c r="K41" i="3"/>
  <c r="P41" i="3"/>
  <c r="T41" i="3" s="1"/>
  <c r="Q41" i="3"/>
  <c r="O41" i="3"/>
  <c r="S41" i="3" s="1"/>
  <c r="N41" i="3"/>
  <c r="R41" i="3" s="1"/>
  <c r="K48" i="3"/>
  <c r="O48" i="3"/>
  <c r="S48" i="3" s="1"/>
  <c r="Q48" i="3"/>
  <c r="N48" i="3"/>
  <c r="R48" i="3" s="1"/>
  <c r="P48" i="3"/>
  <c r="T48" i="3" s="1"/>
  <c r="N25" i="3"/>
  <c r="R25" i="3" s="1"/>
  <c r="K25" i="3"/>
  <c r="K28" i="3" s="1"/>
  <c r="L58" i="3" s="1"/>
  <c r="L62" i="4" s="1"/>
  <c r="Q25" i="3"/>
  <c r="P25" i="3"/>
  <c r="T25" i="3" s="1"/>
  <c r="O25" i="3"/>
  <c r="S25" i="3" s="1"/>
  <c r="S28" i="3" s="1"/>
  <c r="T28" i="3"/>
  <c r="R52" i="4"/>
  <c r="Q12" i="4"/>
  <c r="K28" i="4"/>
  <c r="N10" i="3"/>
  <c r="R10" i="3" s="1"/>
  <c r="P10" i="3"/>
  <c r="T10" i="3" s="1"/>
  <c r="K10" i="3"/>
  <c r="O10" i="3"/>
  <c r="S10" i="3" s="1"/>
  <c r="Q10" i="3"/>
  <c r="Q37" i="3"/>
  <c r="P37" i="3"/>
  <c r="T37" i="3" s="1"/>
  <c r="N37" i="3"/>
  <c r="R37" i="3" s="1"/>
  <c r="O37" i="3"/>
  <c r="S37" i="3" s="1"/>
  <c r="K37" i="3"/>
  <c r="T52" i="4"/>
  <c r="R12" i="4"/>
  <c r="O58" i="4" s="1"/>
  <c r="S28" i="4"/>
  <c r="P58" i="4" s="1"/>
  <c r="P9" i="3"/>
  <c r="T9" i="3" s="1"/>
  <c r="Q28" i="3"/>
  <c r="T28" i="4"/>
  <c r="Q58" i="4" s="1"/>
  <c r="J52" i="3"/>
  <c r="Q28" i="4"/>
  <c r="N8" i="3"/>
  <c r="R8" i="3" s="1"/>
  <c r="K8" i="3"/>
  <c r="K12" i="3" s="1"/>
  <c r="O8" i="3"/>
  <c r="S8" i="3" s="1"/>
  <c r="P8" i="3"/>
  <c r="T8" i="3" s="1"/>
  <c r="T12" i="3" s="1"/>
  <c r="Q8" i="3"/>
  <c r="Q12" i="3" s="1"/>
  <c r="P45" i="3"/>
  <c r="T45" i="3" s="1"/>
  <c r="O45" i="3"/>
  <c r="S45" i="3" s="1"/>
  <c r="K45" i="3"/>
  <c r="N45" i="3"/>
  <c r="R45" i="3" s="1"/>
  <c r="Q45" i="3"/>
  <c r="Q9" i="3"/>
  <c r="R28" i="3"/>
  <c r="O35" i="3"/>
  <c r="S35" i="3" s="1"/>
  <c r="K35" i="3"/>
  <c r="K52" i="3" s="1"/>
  <c r="P35" i="3"/>
  <c r="T35" i="3" s="1"/>
  <c r="Q35" i="3"/>
  <c r="N35" i="3"/>
  <c r="R35" i="3" s="1"/>
  <c r="N58" i="4"/>
  <c r="M58" i="4"/>
  <c r="M62" i="4" l="1"/>
  <c r="S52" i="3"/>
  <c r="S12" i="3"/>
  <c r="O58" i="3" s="1"/>
  <c r="P62" i="4" s="1"/>
  <c r="Q52" i="3"/>
  <c r="M58" i="3"/>
  <c r="R52" i="3"/>
  <c r="R12" i="3"/>
  <c r="N58" i="3" s="1"/>
  <c r="O62" i="4" s="1"/>
  <c r="T52" i="3"/>
  <c r="P58" i="3" s="1"/>
  <c r="Q62" i="4" s="1"/>
  <c r="S62" i="4" l="1"/>
  <c r="N62" i="4"/>
</calcChain>
</file>

<file path=xl/sharedStrings.xml><?xml version="1.0" encoding="utf-8"?>
<sst xmlns="http://schemas.openxmlformats.org/spreadsheetml/2006/main" count="217" uniqueCount="96">
  <si>
    <t>Q3 (a)</t>
  </si>
  <si>
    <t>Q3 (b)</t>
  </si>
  <si>
    <t>Maturity (years)</t>
  </si>
  <si>
    <t>R(0, t) (%)</t>
  </si>
  <si>
    <t>Discount rate</t>
  </si>
  <si>
    <t>Coupon rate</t>
  </si>
  <si>
    <t>Coupon rate (%)</t>
  </si>
  <si>
    <t>(1+R(0,s))^s</t>
  </si>
  <si>
    <t>(1+R(0,t))^t</t>
  </si>
  <si>
    <t>1/(s-t)</t>
  </si>
  <si>
    <t>Forward rate (%)</t>
  </si>
  <si>
    <t>a) compute par yield curve</t>
  </si>
  <si>
    <t>b) forward yield curve in one year</t>
  </si>
  <si>
    <t xml:space="preserve">Maturity </t>
  </si>
  <si>
    <t>R(0,t)</t>
  </si>
  <si>
    <t>t</t>
  </si>
  <si>
    <t>t^2</t>
  </si>
  <si>
    <t>t^3</t>
  </si>
  <si>
    <t>R_bar(0,t)</t>
  </si>
  <si>
    <t xml:space="preserve">2(b) </t>
  </si>
  <si>
    <t xml:space="preserve">2(c) 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</si>
  <si>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</si>
  <si>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</si>
  <si>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</si>
  <si>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</si>
  <si>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</si>
  <si>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</si>
  <si>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</si>
  <si>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</si>
  <si>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</si>
  <si>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</si>
  <si>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</si>
  <si>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</si>
  <si>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</si>
  <si>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</si>
  <si>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</si>
  <si>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</si>
  <si>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</si>
  <si>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</si>
  <si>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</si>
  <si>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</si>
  <si>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</si>
  <si>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</si>
  <si>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</si>
  <si>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</si>
  <si>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</si>
  <si>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X Variable 2</t>
  </si>
  <si>
    <t>X Variable 3</t>
  </si>
  <si>
    <t>Q3b)</t>
  </si>
  <si>
    <t>beta0</t>
  </si>
  <si>
    <t>beta1</t>
  </si>
  <si>
    <t>beta2</t>
  </si>
  <si>
    <t>tau1</t>
  </si>
  <si>
    <t>beta3</t>
  </si>
  <si>
    <t>tau2</t>
  </si>
  <si>
    <t>Bond 1</t>
  </si>
  <si>
    <t>Maturity</t>
  </si>
  <si>
    <t>By NS</t>
  </si>
  <si>
    <t>Coupon /  Principal</t>
  </si>
  <si>
    <t>Market Price</t>
  </si>
  <si>
    <t>Price 
(using Exp)</t>
  </si>
  <si>
    <t>Diff</t>
  </si>
  <si>
    <t>w0</t>
  </si>
  <si>
    <t>w1</t>
  </si>
  <si>
    <t>w2</t>
  </si>
  <si>
    <t>w3</t>
  </si>
  <si>
    <t>s0</t>
  </si>
  <si>
    <t>s1</t>
  </si>
  <si>
    <t>s2</t>
  </si>
  <si>
    <t>s3</t>
  </si>
  <si>
    <t>Price</t>
  </si>
  <si>
    <t>Sensitivity</t>
  </si>
  <si>
    <t>SSR</t>
  </si>
  <si>
    <t>Bond 2</t>
  </si>
  <si>
    <t>Bond 3</t>
  </si>
  <si>
    <t>Portfolio</t>
  </si>
  <si>
    <t>Level</t>
  </si>
  <si>
    <t>Slope</t>
  </si>
  <si>
    <t>Curvature</t>
  </si>
  <si>
    <t>Short end Curvature</t>
  </si>
  <si>
    <t>Portfolio 1</t>
  </si>
  <si>
    <t>Q3d)</t>
  </si>
  <si>
    <t>Change beta0</t>
  </si>
  <si>
    <t>Change beta1</t>
  </si>
  <si>
    <t>Change beta2</t>
  </si>
  <si>
    <t>Change tau1</t>
  </si>
  <si>
    <t>Change beta3</t>
  </si>
  <si>
    <t>Change tau2</t>
  </si>
  <si>
    <t>Former Price</t>
  </si>
  <si>
    <t>Change</t>
  </si>
  <si>
    <t>Change Level</t>
  </si>
  <si>
    <t>Change Slope</t>
  </si>
  <si>
    <t>Change Curvature</t>
  </si>
  <si>
    <t>Change Short end Curvature</t>
  </si>
  <si>
    <t>Estimated Price</t>
  </si>
  <si>
    <t xml:space="preserve">Note: We use the level, slope and curvature $duration of the portfolio derived in part (b).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</si>
</sst>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.000_);_(* \(#,##0.000\);_(* &quot;-&quot;??_);_(@_)"/>
    <numFmt numFmtId="165" formatCode="_(* #,##0.000_);_(* \(#,##0.000\);_(* &quot;-&quot;???_);_(@_)"/>
    <numFmt numFmtId="166" formatCode="0.000000"/>
    <numFmt numFmtId="167" formatCode="0.000%"/>
    <numFmt numFmtId="168" formatCode="0.0000"/>
    <numFmt numFmtId="169" formatCode="0.000"/>
    <numFmt numFmtId="170" formatCode="0.00000"/>
  </numFmts>
  <fonts count="11">
    <font>
      <sz val="12"/>
      <color theme="1"/>
      <name val="Aptos Narrow"/>
      <scheme val="minor"/>
    </font>
    <font>
      <sz val="12"/>
      <color theme="1"/>
      <name val="Aptos Narrow"/>
    </font>
    <font>
      <b/>
      <sz val="12"/>
      <color theme="1"/>
      <name val="Aptos Narrow"/>
    </font>
    <font>
      <sz val="12"/>
      <color rgb="FFFF0000"/>
      <name val="Aptos Narrow"/>
    </font>
    <font>
      <sz val="12"/>
      <color rgb="FF000000"/>
      <name val="Aptos Narrow"/>
    </font>
    <font>
      <i/>
      <sz val="12"/>
      <color theme="1"/>
      <name val="Aptos Narrow"/>
    </font>
    <font>
      <sz val="12"/>
      <name val="Aptos Narrow"/>
    </font>
    <font>
      <sz val="12"/>
      <color theme="1"/>
      <name val="Aptos Narrow"/>
      <scheme val="minor"/>
    </font>
    <font>
      <sz val="12"/>
      <color rgb="FFFFFFFF"/>
      <name val="Aptos Narrow"/>
    </font>
    <font>
      <b/>
      <sz val="12"/>
      <color rgb="FF000000"/>
      <name val="Aptos Narrow"/>
    </font>
    <font>
      <u/>
      <sz val="12"/>
      <color theme="10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CAEDFB"/>
        <bgColor rgb="FFCAEDFB"/>
      </patternFill>
    </fill>
    <fill>
      <patternFill patternType="solid">
        <fgColor rgb="FF000000"/>
        <bgColor rgb="FF000000"/>
      </patternFill>
    </fill>
  </fills>
  <borders count="5">
    <border>
      <left/>
      <right/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6" fontId="1" fillId="0" borderId="0" xfId="0" applyNumberFormat="1" applyFont="1"/>
    <xf numFmtId="43" fontId="1" fillId="0" borderId="0" xfId="0" applyNumberFormat="1" applyFont="1"/>
    <xf numFmtId="0" fontId="4" fillId="0" borderId="0" xfId="0" applyFont="1"/>
    <xf numFmtId="0" fontId="2" fillId="0" borderId="0" xfId="0" applyFont="1"/>
    <xf numFmtId="167" fontId="1" fillId="0" borderId="0" xfId="0" applyNumberFormat="1" applyFont="1"/>
    <xf numFmtId="0" fontId="5" fillId="0" borderId="1" xfId="0" applyFont="1" applyBorder="1" applyAlignment="1">
      <alignment horizontal="center"/>
    </xf>
    <xf numFmtId="0" fontId="1" fillId="0" borderId="2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7" fillId="0" borderId="0" xfId="0" applyFont="1"/>
    <xf numFmtId="0" fontId="8" fillId="3" borderId="3" xfId="0" applyFont="1" applyFill="1" applyBorder="1"/>
    <xf numFmtId="168" fontId="4" fillId="0" borderId="0" xfId="0" applyNumberFormat="1" applyFont="1"/>
    <xf numFmtId="0" fontId="9" fillId="0" borderId="0" xfId="0" applyFont="1"/>
    <xf numFmtId="0" fontId="8" fillId="3" borderId="3" xfId="0" applyFont="1" applyFill="1" applyBorder="1" applyAlignment="1">
      <alignment wrapText="1"/>
    </xf>
    <xf numFmtId="169" fontId="4" fillId="0" borderId="0" xfId="0" applyNumberFormat="1" applyFont="1"/>
    <xf numFmtId="2" fontId="4" fillId="0" borderId="0" xfId="0" applyNumberFormat="1" applyFont="1"/>
    <xf numFmtId="168" fontId="1" fillId="0" borderId="0" xfId="0" applyNumberFormat="1" applyFont="1"/>
    <xf numFmtId="0" fontId="10" fillId="0" borderId="0" xfId="0" applyFont="1"/>
    <xf numFmtId="170" fontId="4" fillId="0" borderId="0" xfId="0" applyNumberFormat="1" applyFont="1"/>
    <xf numFmtId="169" fontId="1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0" fontId="1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tx>
            <c:v>Zero Coupon Rate</c:v>
          </c:tx>
          <c:spPr>
            <a:ln w="28575" cmpd="sng"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val>
            <c:numRef>
              <c:f>'Q1'!$B$3:$B$12</c:f>
              <c:numCache>
                <c:formatCode>_(* #,##0.000_);_(* \(#,##0.000\);_(* "-"??_);_(@_)</c:formatCode>
                <c:ptCount val="10"/>
                <c:pt idx="0">
                  <c:v>7</c:v>
                </c:pt>
                <c:pt idx="1">
                  <c:v>6.8</c:v>
                </c:pt>
                <c:pt idx="2">
                  <c:v>6.62</c:v>
                </c:pt>
                <c:pt idx="3">
                  <c:v>6.46</c:v>
                </c:pt>
                <c:pt idx="4">
                  <c:v>6.33</c:v>
                </c:pt>
                <c:pt idx="5">
                  <c:v>6.25</c:v>
                </c:pt>
                <c:pt idx="6">
                  <c:v>6.2</c:v>
                </c:pt>
                <c:pt idx="7">
                  <c:v>6.16</c:v>
                </c:pt>
                <c:pt idx="8">
                  <c:v>6.125</c:v>
                </c:pt>
                <c:pt idx="9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98-B447-81D7-B897805A3A25}"/>
            </c:ext>
          </c:extLst>
        </c:ser>
        <c:ser>
          <c:idx val="1"/>
          <c:order val="1"/>
          <c:tx>
            <c:v>Par Yield</c:v>
          </c:tx>
          <c:spPr>
            <a:ln w="28575" cmpd="sng">
              <a:solidFill>
                <a:schemeClr val="accent2"/>
              </a:solidFill>
            </a:ln>
          </c:spPr>
          <c:marker>
            <c:symbol val="circle"/>
            <c:size val="5"/>
            <c:spPr>
              <a:solidFill>
                <a:schemeClr val="accent2"/>
              </a:solidFill>
              <a:ln cmpd="sng">
                <a:solidFill>
                  <a:schemeClr val="accent2"/>
                </a:solidFill>
              </a:ln>
            </c:spPr>
          </c:marker>
          <c:val>
            <c:numRef>
              <c:f>'Q1'!$F$3:$F$12</c:f>
              <c:numCache>
                <c:formatCode>0.000000</c:formatCode>
                <c:ptCount val="10"/>
                <c:pt idx="0">
                  <c:v>7.0000000000000009</c:v>
                </c:pt>
                <c:pt idx="1">
                  <c:v>6.8065704525057198</c:v>
                </c:pt>
                <c:pt idx="2">
                  <c:v>6.6358035236578736</c:v>
                </c:pt>
                <c:pt idx="3">
                  <c:v>6.4866260613755529</c:v>
                </c:pt>
                <c:pt idx="4">
                  <c:v>6.3669678660637397</c:v>
                </c:pt>
                <c:pt idx="5">
                  <c:v>6.2929425617045105</c:v>
                </c:pt>
                <c:pt idx="6">
                  <c:v>6.2461267781610648</c:v>
                </c:pt>
                <c:pt idx="7">
                  <c:v>6.209096250571073</c:v>
                </c:pt>
                <c:pt idx="8">
                  <c:v>6.1773421836607749</c:v>
                </c:pt>
                <c:pt idx="9">
                  <c:v>6.1543284426128535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98-B447-81D7-B897805A3A25}"/>
            </c:ext>
          </c:extLst>
        </c:ser>
        <c:ser>
          <c:idx val="2"/>
          <c:order val="2"/>
          <c:tx>
            <c:v>Forward Rate</c:v>
          </c:tx>
          <c:spPr>
            <a:ln w="28575" cmpd="sng">
              <a:solidFill>
                <a:schemeClr val="accent3"/>
              </a:solidFill>
            </a:ln>
          </c:spPr>
          <c:marker>
            <c:symbol val="circle"/>
            <c:size val="5"/>
            <c:spPr>
              <a:solidFill>
                <a:schemeClr val="accent3"/>
              </a:solidFill>
              <a:ln cmpd="sng">
                <a:solidFill>
                  <a:schemeClr val="accent3"/>
                </a:solidFill>
              </a:ln>
            </c:spPr>
          </c:marker>
          <c:val>
            <c:numRef>
              <c:f>'Q1'!$J$3:$J$11</c:f>
              <c:numCache>
                <c:formatCode>General</c:formatCode>
                <c:ptCount val="9"/>
                <c:pt idx="0">
                  <c:v>6.6003738317756966</c:v>
                </c:pt>
                <c:pt idx="1">
                  <c:v>6.2609096010604937</c:v>
                </c:pt>
                <c:pt idx="2">
                  <c:v>5.9814391895555818</c:v>
                </c:pt>
                <c:pt idx="3">
                  <c:v>5.8115855134076577</c:v>
                </c:pt>
                <c:pt idx="4">
                  <c:v>5.8509019444217936</c:v>
                </c:pt>
                <c:pt idx="5">
                  <c:v>5.9004937302861382</c:v>
                </c:pt>
                <c:pt idx="6">
                  <c:v>5.8804215279495864</c:v>
                </c:pt>
                <c:pt idx="7">
                  <c:v>5.8454150912919722</c:v>
                </c:pt>
                <c:pt idx="8">
                  <c:v>5.8752648512549577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98-B447-81D7-B897805A3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53285"/>
        <c:axId val="1959890029"/>
      </c:lineChart>
      <c:catAx>
        <c:axId val="879532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SG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59890029"/>
        <c:crosses val="autoZero"/>
        <c:auto val="1"/>
        <c:lblAlgn val="ctr"/>
        <c:lblOffset val="100"/>
        <c:noMultiLvlLbl val="1"/>
      </c:catAx>
      <c:valAx>
        <c:axId val="1959890029"/>
        <c:scaling>
          <c:orientation val="minMax"/>
          <c:min val="5.7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SG"/>
              </a:p>
            </c:rich>
          </c:tx>
          <c:overlay val="0"/>
        </c:title>
        <c:numFmt formatCode="_(* #,##0.000_);_(* \(#,##0.000\);_(* &quot;-&quot;??_);_(@_)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795328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Market &amp; Theoretical Rate Curve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R(0,t)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numRef>
              <c:f>'Q2'!$J$10:$J$26</c:f>
              <c:numCache>
                <c:formatCode>General</c:formatCode>
                <c:ptCount val="17"/>
                <c:pt idx="0">
                  <c:v>0.5</c:v>
                </c:pt>
                <c:pt idx="1">
                  <c:v>0.8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2</c:v>
                </c:pt>
                <c:pt idx="6">
                  <c:v>3</c:v>
                </c:pt>
                <c:pt idx="7">
                  <c:v>3.4</c:v>
                </c:pt>
                <c:pt idx="8">
                  <c:v>4</c:v>
                </c:pt>
                <c:pt idx="9">
                  <c:v>5</c:v>
                </c:pt>
                <c:pt idx="10">
                  <c:v>5.25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8.3000000000000007</c:v>
                </c:pt>
                <c:pt idx="15">
                  <c:v>9</c:v>
                </c:pt>
                <c:pt idx="16">
                  <c:v>10</c:v>
                </c:pt>
              </c:numCache>
            </c:numRef>
          </c:cat>
          <c:val>
            <c:numRef>
              <c:f>'Q2'!$K$10:$K$26</c:f>
              <c:numCache>
                <c:formatCode>General</c:formatCode>
                <c:ptCount val="17"/>
                <c:pt idx="0" formatCode="0.000%">
                  <c:v>7.4999999999999997E-2</c:v>
                </c:pt>
                <c:pt idx="2" formatCode="0.000%">
                  <c:v>7.1300000000000002E-2</c:v>
                </c:pt>
                <c:pt idx="3" formatCode="0.000%">
                  <c:v>7.1999999999999995E-2</c:v>
                </c:pt>
                <c:pt idx="5" formatCode="0.000%">
                  <c:v>7.6520000000000005E-2</c:v>
                </c:pt>
                <c:pt idx="6" formatCode="0.000%">
                  <c:v>8.0229999999999996E-2</c:v>
                </c:pt>
                <c:pt idx="8" formatCode="0.000%">
                  <c:v>8.2890000000000005E-2</c:v>
                </c:pt>
                <c:pt idx="9" formatCode="0.000%">
                  <c:v>8.516E-2</c:v>
                </c:pt>
                <c:pt idx="11" formatCode="0.000%">
                  <c:v>8.7239999999999998E-2</c:v>
                </c:pt>
                <c:pt idx="12" formatCode="0.000%">
                  <c:v>8.8459999999999997E-2</c:v>
                </c:pt>
                <c:pt idx="13" formatCode="0.000%">
                  <c:v>8.9149999999999993E-2</c:v>
                </c:pt>
                <c:pt idx="16" formatCode="0.000%">
                  <c:v>8.967E-2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B57-A940-8F19-958A06752EF3}"/>
            </c:ext>
          </c:extLst>
        </c:ser>
        <c:ser>
          <c:idx val="1"/>
          <c:order val="1"/>
          <c:tx>
            <c:v>R_bar(0,t)</c:v>
          </c:tx>
          <c:spPr>
            <a:ln cmpd="sng">
              <a:solidFill>
                <a:srgbClr val="E97132"/>
              </a:solidFill>
            </a:ln>
          </c:spPr>
          <c:marker>
            <c:symbol val="none"/>
          </c:marker>
          <c:cat>
            <c:numRef>
              <c:f>'Q2'!$J$10:$J$26</c:f>
              <c:numCache>
                <c:formatCode>General</c:formatCode>
                <c:ptCount val="17"/>
                <c:pt idx="0">
                  <c:v>0.5</c:v>
                </c:pt>
                <c:pt idx="1">
                  <c:v>0.8</c:v>
                </c:pt>
                <c:pt idx="2">
                  <c:v>1</c:v>
                </c:pt>
                <c:pt idx="3">
                  <c:v>1.25</c:v>
                </c:pt>
                <c:pt idx="4">
                  <c:v>1.5</c:v>
                </c:pt>
                <c:pt idx="5">
                  <c:v>2</c:v>
                </c:pt>
                <c:pt idx="6">
                  <c:v>3</c:v>
                </c:pt>
                <c:pt idx="7">
                  <c:v>3.4</c:v>
                </c:pt>
                <c:pt idx="8">
                  <c:v>4</c:v>
                </c:pt>
                <c:pt idx="9">
                  <c:v>5</c:v>
                </c:pt>
                <c:pt idx="10">
                  <c:v>5.25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8.3000000000000007</c:v>
                </c:pt>
                <c:pt idx="15">
                  <c:v>9</c:v>
                </c:pt>
                <c:pt idx="16">
                  <c:v>10</c:v>
                </c:pt>
              </c:numCache>
            </c:numRef>
          </c:cat>
          <c:val>
            <c:numRef>
              <c:f>'Q2'!$L$10:$L$26</c:f>
              <c:numCache>
                <c:formatCode>0.000%</c:formatCode>
                <c:ptCount val="17"/>
                <c:pt idx="0">
                  <c:v>7.209028227368415E-2</c:v>
                </c:pt>
                <c:pt idx="1">
                  <c:v>7.2914028319000554E-2</c:v>
                </c:pt>
                <c:pt idx="2">
                  <c:v>7.3475107787048563E-2</c:v>
                </c:pt>
                <c:pt idx="3">
                  <c:v>7.4187794837068069E-2</c:v>
                </c:pt>
                <c:pt idx="4">
                  <c:v>7.4910935634338732E-2</c:v>
                </c:pt>
                <c:pt idx="5">
                  <c:v>7.6379391125712445E-2</c:v>
                </c:pt>
                <c:pt idx="6">
                  <c:v>7.9340686281341777E-2</c:v>
                </c:pt>
                <c:pt idx="7">
                  <c:v>8.0508240208146647E-2</c:v>
                </c:pt>
                <c:pt idx="8">
                  <c:v>8.2211995735199092E-2</c:v>
                </c:pt>
                <c:pt idx="9">
                  <c:v>8.4846321968546856E-2</c:v>
                </c:pt>
                <c:pt idx="10">
                  <c:v>8.5450648626952133E-2</c:v>
                </c:pt>
                <c:pt idx="11">
                  <c:v>8.7096667462647562E-2</c:v>
                </c:pt>
                <c:pt idx="12">
                  <c:v>8.8816034698763757E-2</c:v>
                </c:pt>
                <c:pt idx="13">
                  <c:v>8.9857426158157866E-2</c:v>
                </c:pt>
                <c:pt idx="14">
                  <c:v>9.001566219046403E-2</c:v>
                </c:pt>
                <c:pt idx="15">
                  <c:v>9.0073844322092422E-2</c:v>
                </c:pt>
                <c:pt idx="16">
                  <c:v>8.9318291671829919E-2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B57-A940-8F19-958A0675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14020"/>
        <c:axId val="1169022670"/>
      </c:lineChart>
      <c:catAx>
        <c:axId val="653140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0" i="0">
                    <a:solidFill>
                      <a:srgbClr val="000000"/>
                    </a:solidFill>
                    <a:latin typeface="+mn-lt"/>
                  </a:rPr>
                  <a:t>Maturity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69022670"/>
        <c:crosses val="autoZero"/>
        <c:auto val="1"/>
        <c:lblAlgn val="ctr"/>
        <c:lblOffset val="100"/>
        <c:noMultiLvlLbl val="1"/>
      </c:catAx>
      <c:valAx>
        <c:axId val="1169022670"/>
        <c:scaling>
          <c:orientation val="minMax"/>
          <c:max val="9.0999999999999998E-2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/>
              </a:p>
            </c:rich>
          </c:tx>
          <c:overlay val="0"/>
        </c:title>
        <c:numFmt formatCode="0.00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314020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657225</xdr:colOff>
      <xdr:row>19</xdr:row>
      <xdr:rowOff>95250</xdr:rowOff>
    </xdr:from>
    <xdr:ext cx="5400675" cy="2705100"/>
    <xdr:graphicFrame macro="">
      <xdr:nvGraphicFramePr>
        <xdr:cNvPr id="1557186272" name="Chart 1">
          <a:extLst>
            <a:ext uri="{FF2B5EF4-FFF2-40B4-BE49-F238E27FC236}">
              <a16:creationId xmlns:a16="http://schemas.microsoft.com/office/drawing/2014/main" id="{00000000-0008-0000-0000-0000E0C6D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0</xdr:colOff>
      <xdr:row>0</xdr:row>
      <xdr:rowOff>0</xdr:rowOff>
    </xdr:from>
    <xdr:ext cx="314325" cy="314325"/>
    <xdr:sp macro="" textlink="">
      <xdr:nvSpPr>
        <xdr:cNvPr id="3" name="Shape 3" descr="Uploaded imag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0</xdr:colOff>
      <xdr:row>3</xdr:row>
      <xdr:rowOff>0</xdr:rowOff>
    </xdr:from>
    <xdr:ext cx="314325" cy="314325"/>
    <xdr:sp macro="" textlink="">
      <xdr:nvSpPr>
        <xdr:cNvPr id="2" name="Shape 3" descr="Uploaded 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93600" y="3627600"/>
          <a:ext cx="304800" cy="304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495300</xdr:colOff>
      <xdr:row>8</xdr:row>
      <xdr:rowOff>57150</xdr:rowOff>
    </xdr:from>
    <xdr:ext cx="4067175" cy="3533775"/>
    <xdr:graphicFrame macro="">
      <xdr:nvGraphicFramePr>
        <xdr:cNvPr id="1432317990" name="Chart 2" title="Chart">
          <a:extLst>
            <a:ext uri="{FF2B5EF4-FFF2-40B4-BE49-F238E27FC236}">
              <a16:creationId xmlns:a16="http://schemas.microsoft.com/office/drawing/2014/main" id="{00000000-0008-0000-0100-000026705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/>
  </sheetViews>
  <sheetFormatPr baseColWidth="10" defaultColWidth="11.1640625" defaultRowHeight="15" customHeight="1"/>
  <cols>
    <col min="1" max="1" width="14" customWidth="1"/>
    <col min="2" max="3" width="10" customWidth="1"/>
    <col min="4" max="4" width="14" customWidth="1"/>
    <col min="5" max="5" width="14.33203125" customWidth="1"/>
    <col min="6" max="6" width="14.83203125" customWidth="1"/>
    <col min="7" max="7" width="17.5" customWidth="1"/>
    <col min="8" max="8" width="15.5" customWidth="1"/>
    <col min="9" max="10" width="10.5" customWidth="1"/>
    <col min="11" max="26" width="11.1640625" customWidth="1"/>
  </cols>
  <sheetData>
    <row r="1" spans="1:26" ht="15.75" customHeight="1">
      <c r="A1" s="1"/>
      <c r="B1" s="1"/>
      <c r="C1" s="1"/>
      <c r="D1" s="1"/>
      <c r="E1" s="26" t="s">
        <v>0</v>
      </c>
      <c r="F1" s="27"/>
      <c r="G1" s="1"/>
      <c r="H1" s="1"/>
      <c r="I1" s="1"/>
      <c r="J1" s="2" t="s">
        <v>1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>
      <c r="A2" s="1" t="s">
        <v>2</v>
      </c>
      <c r="B2" s="1" t="s">
        <v>3</v>
      </c>
      <c r="C2" s="1"/>
      <c r="D2" s="1" t="s">
        <v>4</v>
      </c>
      <c r="E2" s="3" t="s">
        <v>5</v>
      </c>
      <c r="F2" s="3" t="s">
        <v>6</v>
      </c>
      <c r="G2" s="1" t="s">
        <v>7</v>
      </c>
      <c r="H2" s="1" t="s">
        <v>8</v>
      </c>
      <c r="I2" s="1" t="s">
        <v>9</v>
      </c>
      <c r="J2" s="3" t="s">
        <v>10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customHeight="1">
      <c r="A3" s="1">
        <v>1</v>
      </c>
      <c r="B3" s="4">
        <v>7</v>
      </c>
      <c r="C3" s="4">
        <f t="shared" ref="C3:C12" si="0">B3/100</f>
        <v>7.0000000000000007E-2</v>
      </c>
      <c r="D3" s="5">
        <f t="shared" ref="D3:D12" si="1">1/(1+C3)^A3</f>
        <v>0.93457943925233644</v>
      </c>
      <c r="E3" s="1">
        <f>(1-D3)/(D3)</f>
        <v>7.0000000000000007E-2</v>
      </c>
      <c r="F3" s="6">
        <f t="shared" ref="F3:F12" si="2">E3*100</f>
        <v>7.0000000000000009</v>
      </c>
      <c r="G3" s="7">
        <f t="shared" ref="G3:G12" si="3">(1+B4/100)^A4</f>
        <v>1.1406240000000001</v>
      </c>
      <c r="H3" s="5">
        <f t="shared" ref="H3:H12" si="4">(1+B3/100)^A3</f>
        <v>1.07</v>
      </c>
      <c r="I3" s="1">
        <f t="shared" ref="I3:I11" si="5">1/(A4-A3)</f>
        <v>1</v>
      </c>
      <c r="J3" s="1">
        <f t="shared" ref="J3:J11" si="6">((G3/H3)-1)*100</f>
        <v>6.6003738317756966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customHeight="1">
      <c r="A4" s="1">
        <v>2</v>
      </c>
      <c r="B4" s="4">
        <v>6.8</v>
      </c>
      <c r="C4" s="4">
        <f t="shared" si="0"/>
        <v>6.8000000000000005E-2</v>
      </c>
      <c r="D4" s="5">
        <f t="shared" si="1"/>
        <v>0.87671309739230452</v>
      </c>
      <c r="E4" s="1">
        <f>(1-D4)/(D4+D3)</f>
        <v>6.8065704525057197E-2</v>
      </c>
      <c r="F4" s="6">
        <f t="shared" si="2"/>
        <v>6.8065704525057198</v>
      </c>
      <c r="G4" s="7">
        <f t="shared" si="3"/>
        <v>1.2120374375280003</v>
      </c>
      <c r="H4" s="5">
        <f t="shared" si="4"/>
        <v>1.1406240000000001</v>
      </c>
      <c r="I4" s="1">
        <f t="shared" si="5"/>
        <v>1</v>
      </c>
      <c r="J4" s="1">
        <f t="shared" si="6"/>
        <v>6.2609096010604937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customHeight="1">
      <c r="A5" s="1">
        <v>3</v>
      </c>
      <c r="B5" s="4">
        <v>6.62</v>
      </c>
      <c r="C5" s="4">
        <f t="shared" si="0"/>
        <v>6.6199999999999995E-2</v>
      </c>
      <c r="D5" s="5">
        <f t="shared" si="1"/>
        <v>0.82505702302359629</v>
      </c>
      <c r="E5" s="1">
        <f>(1-D5)/(D5+D4+D3)</f>
        <v>6.6358035236578738E-2</v>
      </c>
      <c r="F5" s="6">
        <f t="shared" si="2"/>
        <v>6.6358035236578736</v>
      </c>
      <c r="G5" s="7">
        <f t="shared" si="3"/>
        <v>1.2845347198083854</v>
      </c>
      <c r="H5" s="5">
        <f t="shared" si="4"/>
        <v>1.2120374375280003</v>
      </c>
      <c r="I5" s="1">
        <f t="shared" si="5"/>
        <v>1</v>
      </c>
      <c r="J5" s="1">
        <f t="shared" si="6"/>
        <v>5.9814391895555818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>
      <c r="A6" s="1">
        <v>4</v>
      </c>
      <c r="B6" s="4">
        <v>6.46</v>
      </c>
      <c r="C6" s="4">
        <f t="shared" si="0"/>
        <v>6.4600000000000005E-2</v>
      </c>
      <c r="D6" s="5">
        <f t="shared" si="1"/>
        <v>0.77849199759207011</v>
      </c>
      <c r="E6" s="1">
        <f>(1-D6)/($D$6+$D$5+$D$4+$D$3)</f>
        <v>6.4866260613755528E-2</v>
      </c>
      <c r="F6" s="6">
        <f t="shared" si="2"/>
        <v>6.4866260613755529</v>
      </c>
      <c r="G6" s="7">
        <f t="shared" si="3"/>
        <v>1.3591865534994612</v>
      </c>
      <c r="H6" s="5">
        <f t="shared" si="4"/>
        <v>1.2845347198083854</v>
      </c>
      <c r="I6" s="1">
        <f t="shared" si="5"/>
        <v>1</v>
      </c>
      <c r="J6" s="1">
        <f t="shared" si="6"/>
        <v>5.8115855134076577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customHeight="1">
      <c r="A7" s="1">
        <v>5</v>
      </c>
      <c r="B7" s="4">
        <v>6.33</v>
      </c>
      <c r="C7" s="4">
        <f t="shared" si="0"/>
        <v>6.3299999999999995E-2</v>
      </c>
      <c r="D7" s="5">
        <f t="shared" si="1"/>
        <v>0.73573417675839037</v>
      </c>
      <c r="E7" s="1">
        <f>(1-D7)/($D$7+$D$6+$D$5+$D$4+$D$3)</f>
        <v>6.3669678660637399E-2</v>
      </c>
      <c r="F7" s="6">
        <f t="shared" si="2"/>
        <v>6.3669678660637397</v>
      </c>
      <c r="G7" s="7">
        <f t="shared" si="3"/>
        <v>1.4387112259864807</v>
      </c>
      <c r="H7" s="5">
        <f t="shared" si="4"/>
        <v>1.3591865534994612</v>
      </c>
      <c r="I7" s="1">
        <f t="shared" si="5"/>
        <v>1</v>
      </c>
      <c r="J7" s="1">
        <f t="shared" si="6"/>
        <v>5.8509019444217936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 customHeight="1">
      <c r="A8" s="1">
        <v>6</v>
      </c>
      <c r="B8" s="4">
        <v>6.25</v>
      </c>
      <c r="C8" s="4">
        <f t="shared" si="0"/>
        <v>6.25E-2</v>
      </c>
      <c r="D8" s="5">
        <f t="shared" si="1"/>
        <v>0.69506651643336581</v>
      </c>
      <c r="E8" s="1">
        <f>(1-D8)/($D$8+$D$7+$D$6+$D$5+$D$4+$D$3)</f>
        <v>6.2929425617045107E-2</v>
      </c>
      <c r="F8" s="6">
        <f t="shared" si="2"/>
        <v>6.2929425617045105</v>
      </c>
      <c r="G8" s="7">
        <f t="shared" si="3"/>
        <v>1.5236022916727359</v>
      </c>
      <c r="H8" s="5">
        <f t="shared" si="4"/>
        <v>1.4387112259864807</v>
      </c>
      <c r="I8" s="1">
        <f t="shared" si="5"/>
        <v>1</v>
      </c>
      <c r="J8" s="1">
        <f t="shared" si="6"/>
        <v>5.9004937302861382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 customHeight="1">
      <c r="A9" s="1">
        <v>7</v>
      </c>
      <c r="B9" s="4">
        <v>6.2</v>
      </c>
      <c r="C9" s="4">
        <f t="shared" si="0"/>
        <v>6.2E-2</v>
      </c>
      <c r="D9" s="5">
        <f t="shared" si="1"/>
        <v>0.65633925957286254</v>
      </c>
      <c r="E9" s="1">
        <f>(1-D9)/($D$9+$D$8+$D$7+$D$6+$D$5+$D$4+$D$3)</f>
        <v>6.2461267781610652E-2</v>
      </c>
      <c r="F9" s="6">
        <f t="shared" si="2"/>
        <v>6.2461267781610648</v>
      </c>
      <c r="G9" s="7">
        <f t="shared" si="3"/>
        <v>1.6131965288325927</v>
      </c>
      <c r="H9" s="5">
        <f t="shared" si="4"/>
        <v>1.5236022916727359</v>
      </c>
      <c r="I9" s="1">
        <f t="shared" si="5"/>
        <v>1</v>
      </c>
      <c r="J9" s="1">
        <f t="shared" si="6"/>
        <v>5.8804215279495864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customHeight="1">
      <c r="A10" s="1">
        <v>8</v>
      </c>
      <c r="B10" s="4">
        <v>6.16</v>
      </c>
      <c r="C10" s="4">
        <f t="shared" si="0"/>
        <v>6.1600000000000002E-2</v>
      </c>
      <c r="D10" s="5">
        <f t="shared" si="1"/>
        <v>0.61988727481558681</v>
      </c>
      <c r="E10" s="1">
        <f>(1-D10)/($D$10+$D$9+$D$8+$D$7+$D$6+$D$5+$D$4+$D$3)</f>
        <v>6.209096250571073E-2</v>
      </c>
      <c r="F10" s="6">
        <f t="shared" si="2"/>
        <v>6.209096250571073</v>
      </c>
      <c r="G10" s="7">
        <f t="shared" si="3"/>
        <v>1.7074945621811715</v>
      </c>
      <c r="H10" s="5">
        <f t="shared" si="4"/>
        <v>1.6131965288325927</v>
      </c>
      <c r="I10" s="1">
        <f t="shared" si="5"/>
        <v>1</v>
      </c>
      <c r="J10" s="1">
        <f t="shared" si="6"/>
        <v>5.8454150912919722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customHeight="1">
      <c r="A11" s="1">
        <v>9</v>
      </c>
      <c r="B11" s="4">
        <v>6.125</v>
      </c>
      <c r="C11" s="4">
        <f t="shared" si="0"/>
        <v>6.1249999999999999E-2</v>
      </c>
      <c r="D11" s="5">
        <f t="shared" si="1"/>
        <v>0.58565340244632436</v>
      </c>
      <c r="E11" s="1">
        <f>(1-D11)/($D$11+$D$10+$D$9+$D$8+$D$7+$D$6+$D$5+$D$4+$D$3)</f>
        <v>6.177342183660775E-2</v>
      </c>
      <c r="F11" s="6">
        <f t="shared" si="2"/>
        <v>6.1773421836607749</v>
      </c>
      <c r="G11" s="7">
        <f t="shared" si="3"/>
        <v>1.8078143900300916</v>
      </c>
      <c r="H11" s="5">
        <f t="shared" si="4"/>
        <v>1.7074945621811715</v>
      </c>
      <c r="I11" s="1">
        <f t="shared" si="5"/>
        <v>1</v>
      </c>
      <c r="J11" s="1">
        <f t="shared" si="6"/>
        <v>5.8752648512549577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>
      <c r="A12" s="1">
        <v>10</v>
      </c>
      <c r="B12" s="4">
        <v>6.1</v>
      </c>
      <c r="C12" s="4">
        <f t="shared" si="0"/>
        <v>6.0999999999999999E-2</v>
      </c>
      <c r="D12" s="5">
        <f t="shared" si="1"/>
        <v>0.55315413214702569</v>
      </c>
      <c r="E12" s="1">
        <f>(1-D12)/($D$12+$D$11+$D$10+$D$9+$D$8+$D$7+$D$6+$D$5+$D$4+$D$3)</f>
        <v>6.1543284426128532E-2</v>
      </c>
      <c r="F12" s="6">
        <f t="shared" si="2"/>
        <v>6.1543284426128535</v>
      </c>
      <c r="G12" s="7">
        <f t="shared" si="3"/>
        <v>1</v>
      </c>
      <c r="H12" s="5">
        <f t="shared" si="4"/>
        <v>1.8078143900300916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>
      <c r="A15" s="1" t="s">
        <v>11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>
      <c r="A18" s="1" t="s">
        <v>12</v>
      </c>
      <c r="B18" s="8"/>
      <c r="C18" s="8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E1:F1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workbookViewId="0"/>
  </sheetViews>
  <sheetFormatPr baseColWidth="10" defaultColWidth="11.1640625" defaultRowHeight="15" customHeight="1"/>
  <cols>
    <col min="1" max="14" width="10.5" customWidth="1"/>
    <col min="15" max="26" width="11.1640625" customWidth="1"/>
  </cols>
  <sheetData>
    <row r="1" spans="1:26" ht="15.75" customHeight="1">
      <c r="A1" s="9" t="s">
        <v>13</v>
      </c>
      <c r="B1" s="9" t="s">
        <v>14</v>
      </c>
      <c r="C1" s="9" t="s">
        <v>15</v>
      </c>
      <c r="D1" s="9" t="s">
        <v>16</v>
      </c>
      <c r="E1" s="9" t="s">
        <v>17</v>
      </c>
      <c r="F1" s="9" t="s">
        <v>18</v>
      </c>
      <c r="G1" s="1"/>
      <c r="H1" s="1"/>
      <c r="I1" s="9" t="s">
        <v>19</v>
      </c>
      <c r="J1" s="9" t="s">
        <v>13</v>
      </c>
      <c r="K1" s="9" t="s">
        <v>15</v>
      </c>
      <c r="L1" s="9" t="s">
        <v>16</v>
      </c>
      <c r="M1" s="9" t="s">
        <v>17</v>
      </c>
      <c r="N1" s="9" t="s">
        <v>18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>
      <c r="A2" s="1">
        <v>0.5</v>
      </c>
      <c r="B2" s="10">
        <v>7.4999999999999997E-2</v>
      </c>
      <c r="C2" s="1">
        <f t="shared" ref="C2:C12" si="0">A2</f>
        <v>0.5</v>
      </c>
      <c r="D2" s="1">
        <f t="shared" ref="D2:D12" si="1">A2^2</f>
        <v>0.25</v>
      </c>
      <c r="E2" s="1">
        <f t="shared" ref="E2:E12" si="2">A2^3</f>
        <v>0.125</v>
      </c>
      <c r="F2" s="10">
        <f t="shared" ref="F2:F12" si="3">$B$30+$B$31*C2+$B$32*D2+$B$33*E2</f>
        <v>7.209028227368415E-2</v>
      </c>
      <c r="G2" s="1"/>
      <c r="H2" s="1"/>
      <c r="I2" s="1"/>
      <c r="J2" s="1">
        <v>0.8</v>
      </c>
      <c r="K2" s="1">
        <f t="shared" ref="K2:K7" si="4">J2</f>
        <v>0.8</v>
      </c>
      <c r="L2" s="1">
        <f t="shared" ref="L2:L7" si="5">J2^2</f>
        <v>0.64000000000000012</v>
      </c>
      <c r="M2" s="1">
        <f t="shared" ref="M2:M7" si="6">J2^3</f>
        <v>0.51200000000000012</v>
      </c>
      <c r="N2" s="10">
        <f t="shared" ref="N2:N7" si="7">$B$30+$B$31*K2+$B$32*L2+$B$33*M2</f>
        <v>7.2914028319000554E-2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.75" customHeight="1">
      <c r="A3" s="1">
        <v>1</v>
      </c>
      <c r="B3" s="10">
        <v>7.1300000000000002E-2</v>
      </c>
      <c r="C3" s="1">
        <f t="shared" si="0"/>
        <v>1</v>
      </c>
      <c r="D3" s="1">
        <f t="shared" si="1"/>
        <v>1</v>
      </c>
      <c r="E3" s="1">
        <f t="shared" si="2"/>
        <v>1</v>
      </c>
      <c r="F3" s="10">
        <f t="shared" si="3"/>
        <v>7.3475107787048563E-2</v>
      </c>
      <c r="G3" s="1"/>
      <c r="H3" s="1"/>
      <c r="I3" s="1"/>
      <c r="J3" s="1">
        <v>1.5</v>
      </c>
      <c r="K3" s="1">
        <f t="shared" si="4"/>
        <v>1.5</v>
      </c>
      <c r="L3" s="1">
        <f t="shared" si="5"/>
        <v>2.25</v>
      </c>
      <c r="M3" s="1">
        <f t="shared" si="6"/>
        <v>3.375</v>
      </c>
      <c r="N3" s="10">
        <f t="shared" si="7"/>
        <v>7.4910935634338732E-2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5.75" customHeight="1">
      <c r="A4" s="1">
        <v>1.25</v>
      </c>
      <c r="B4" s="10">
        <v>7.1999999999999995E-2</v>
      </c>
      <c r="C4" s="1">
        <f t="shared" si="0"/>
        <v>1.25</v>
      </c>
      <c r="D4" s="1">
        <f t="shared" si="1"/>
        <v>1.5625</v>
      </c>
      <c r="E4" s="1">
        <f t="shared" si="2"/>
        <v>1.953125</v>
      </c>
      <c r="F4" s="10">
        <f t="shared" si="3"/>
        <v>7.4187794837068069E-2</v>
      </c>
      <c r="G4" s="1"/>
      <c r="H4" s="1"/>
      <c r="I4" s="1"/>
      <c r="J4" s="1">
        <v>3.4</v>
      </c>
      <c r="K4" s="1">
        <f t="shared" si="4"/>
        <v>3.4</v>
      </c>
      <c r="L4" s="1">
        <f t="shared" si="5"/>
        <v>11.559999999999999</v>
      </c>
      <c r="M4" s="1">
        <f t="shared" si="6"/>
        <v>39.303999999999995</v>
      </c>
      <c r="N4" s="10">
        <f t="shared" si="7"/>
        <v>8.0508240208146647E-2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.75" customHeight="1">
      <c r="A5" s="1">
        <v>2</v>
      </c>
      <c r="B5" s="10">
        <v>7.6520000000000005E-2</v>
      </c>
      <c r="C5" s="1">
        <f t="shared" si="0"/>
        <v>2</v>
      </c>
      <c r="D5" s="1">
        <f t="shared" si="1"/>
        <v>4</v>
      </c>
      <c r="E5" s="1">
        <f t="shared" si="2"/>
        <v>8</v>
      </c>
      <c r="F5" s="10">
        <f t="shared" si="3"/>
        <v>7.6379391125712445E-2</v>
      </c>
      <c r="G5" s="1"/>
      <c r="H5" s="1"/>
      <c r="I5" s="1"/>
      <c r="J5" s="1">
        <v>5.25</v>
      </c>
      <c r="K5" s="1">
        <f t="shared" si="4"/>
        <v>5.25</v>
      </c>
      <c r="L5" s="1">
        <f t="shared" si="5"/>
        <v>27.5625</v>
      </c>
      <c r="M5" s="1">
        <f t="shared" si="6"/>
        <v>144.703125</v>
      </c>
      <c r="N5" s="10">
        <f t="shared" si="7"/>
        <v>8.5450648626952133E-2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>
      <c r="A6" s="1">
        <v>3</v>
      </c>
      <c r="B6" s="10">
        <v>8.0229999999999996E-2</v>
      </c>
      <c r="C6" s="1">
        <f t="shared" si="0"/>
        <v>3</v>
      </c>
      <c r="D6" s="1">
        <f t="shared" si="1"/>
        <v>9</v>
      </c>
      <c r="E6" s="1">
        <f t="shared" si="2"/>
        <v>27</v>
      </c>
      <c r="F6" s="10">
        <f t="shared" si="3"/>
        <v>7.9340686281341777E-2</v>
      </c>
      <c r="G6" s="1"/>
      <c r="H6" s="1"/>
      <c r="I6" s="1"/>
      <c r="J6" s="1">
        <v>8.3000000000000007</v>
      </c>
      <c r="K6" s="1">
        <f t="shared" si="4"/>
        <v>8.3000000000000007</v>
      </c>
      <c r="L6" s="1">
        <f t="shared" si="5"/>
        <v>68.890000000000015</v>
      </c>
      <c r="M6" s="1">
        <f t="shared" si="6"/>
        <v>571.78700000000015</v>
      </c>
      <c r="N6" s="10">
        <f t="shared" si="7"/>
        <v>9.001566219046403E-2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.75" customHeight="1">
      <c r="A7" s="1">
        <v>4</v>
      </c>
      <c r="B7" s="10">
        <v>8.2890000000000005E-2</v>
      </c>
      <c r="C7" s="1">
        <f t="shared" si="0"/>
        <v>4</v>
      </c>
      <c r="D7" s="1">
        <f t="shared" si="1"/>
        <v>16</v>
      </c>
      <c r="E7" s="1">
        <f t="shared" si="2"/>
        <v>64</v>
      </c>
      <c r="F7" s="10">
        <f t="shared" si="3"/>
        <v>8.2211995735199092E-2</v>
      </c>
      <c r="G7" s="1"/>
      <c r="H7" s="1"/>
      <c r="I7" s="1"/>
      <c r="J7" s="1">
        <v>9</v>
      </c>
      <c r="K7" s="1">
        <f t="shared" si="4"/>
        <v>9</v>
      </c>
      <c r="L7" s="1">
        <f t="shared" si="5"/>
        <v>81</v>
      </c>
      <c r="M7" s="1">
        <f t="shared" si="6"/>
        <v>729</v>
      </c>
      <c r="N7" s="10">
        <f t="shared" si="7"/>
        <v>9.0073844322092422E-2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5.75" customHeight="1">
      <c r="A8" s="1">
        <v>5</v>
      </c>
      <c r="B8" s="10">
        <v>8.516E-2</v>
      </c>
      <c r="C8" s="1">
        <f t="shared" si="0"/>
        <v>5</v>
      </c>
      <c r="D8" s="1">
        <f t="shared" si="1"/>
        <v>25</v>
      </c>
      <c r="E8" s="1">
        <f t="shared" si="2"/>
        <v>125</v>
      </c>
      <c r="F8" s="10">
        <f t="shared" si="3"/>
        <v>8.4846321968546856E-2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.75" customHeight="1">
      <c r="A9" s="1">
        <v>6</v>
      </c>
      <c r="B9" s="10">
        <v>8.7239999999999998E-2</v>
      </c>
      <c r="C9" s="1">
        <f t="shared" si="0"/>
        <v>6</v>
      </c>
      <c r="D9" s="1">
        <f t="shared" si="1"/>
        <v>36</v>
      </c>
      <c r="E9" s="1">
        <f t="shared" si="2"/>
        <v>216</v>
      </c>
      <c r="F9" s="10">
        <f t="shared" si="3"/>
        <v>8.7096667462647562E-2</v>
      </c>
      <c r="G9" s="1"/>
      <c r="H9" s="1"/>
      <c r="I9" s="9" t="s">
        <v>20</v>
      </c>
      <c r="J9" s="9" t="s">
        <v>13</v>
      </c>
      <c r="K9" s="9" t="s">
        <v>14</v>
      </c>
      <c r="L9" s="9" t="s">
        <v>18</v>
      </c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customHeight="1">
      <c r="A10" s="1">
        <v>7</v>
      </c>
      <c r="B10" s="10">
        <v>8.8459999999999997E-2</v>
      </c>
      <c r="C10" s="1">
        <f t="shared" si="0"/>
        <v>7</v>
      </c>
      <c r="D10" s="1">
        <f t="shared" si="1"/>
        <v>49</v>
      </c>
      <c r="E10" s="1">
        <f t="shared" si="2"/>
        <v>343</v>
      </c>
      <c r="F10" s="10">
        <f t="shared" si="3"/>
        <v>8.8816034698763757E-2</v>
      </c>
      <c r="G10" s="1"/>
      <c r="H10" s="1"/>
      <c r="I10" s="1"/>
      <c r="J10" s="1">
        <v>0.5</v>
      </c>
      <c r="K10" s="10">
        <v>7.4999999999999997E-2</v>
      </c>
      <c r="L10" s="10">
        <f t="shared" ref="L10:L26" si="8">$B$30+$B$31*J10+$B$32*J10^2+$B$33*J10^3</f>
        <v>7.209028227368415E-2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.75" customHeight="1">
      <c r="A11" s="1">
        <v>8</v>
      </c>
      <c r="B11" s="10">
        <v>8.9149999999999993E-2</v>
      </c>
      <c r="C11" s="1">
        <f t="shared" si="0"/>
        <v>8</v>
      </c>
      <c r="D11" s="1">
        <f t="shared" si="1"/>
        <v>64</v>
      </c>
      <c r="E11" s="1">
        <f t="shared" si="2"/>
        <v>512</v>
      </c>
      <c r="F11" s="10">
        <f t="shared" si="3"/>
        <v>8.9857426158157866E-2</v>
      </c>
      <c r="G11" s="1"/>
      <c r="H11" s="1"/>
      <c r="I11" s="1"/>
      <c r="J11" s="1">
        <v>0.8</v>
      </c>
      <c r="K11" s="1"/>
      <c r="L11" s="10">
        <f t="shared" si="8"/>
        <v>7.2914028319000554E-2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.75" customHeight="1">
      <c r="A12" s="1">
        <v>10</v>
      </c>
      <c r="B12" s="10">
        <v>8.967E-2</v>
      </c>
      <c r="C12" s="1">
        <f t="shared" si="0"/>
        <v>10</v>
      </c>
      <c r="D12" s="1">
        <f t="shared" si="1"/>
        <v>100</v>
      </c>
      <c r="E12" s="1">
        <f t="shared" si="2"/>
        <v>1000</v>
      </c>
      <c r="F12" s="10">
        <f t="shared" si="3"/>
        <v>8.9318291671829919E-2</v>
      </c>
      <c r="G12" s="1"/>
      <c r="H12" s="1"/>
      <c r="I12" s="1"/>
      <c r="J12" s="1">
        <v>1</v>
      </c>
      <c r="K12" s="10">
        <v>7.1300000000000002E-2</v>
      </c>
      <c r="L12" s="10">
        <f t="shared" si="8"/>
        <v>7.3475107787048563E-2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>
      <c r="A13" s="1"/>
      <c r="B13" s="1"/>
      <c r="C13" s="1"/>
      <c r="D13" s="1"/>
      <c r="E13" s="1"/>
      <c r="F13" s="1"/>
      <c r="G13" s="1"/>
      <c r="H13" s="1"/>
      <c r="I13" s="1"/>
      <c r="J13" s="1">
        <v>1.25</v>
      </c>
      <c r="K13" s="10">
        <v>7.1999999999999995E-2</v>
      </c>
      <c r="L13" s="10">
        <f t="shared" si="8"/>
        <v>7.4187794837068069E-2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>
      <c r="A14" s="1" t="s">
        <v>21</v>
      </c>
      <c r="B14" s="1"/>
      <c r="C14" s="1"/>
      <c r="D14" s="1"/>
      <c r="E14" s="1"/>
      <c r="F14" s="1"/>
      <c r="G14" s="1"/>
      <c r="H14" s="1"/>
      <c r="I14" s="1"/>
      <c r="J14" s="1">
        <v>1.5</v>
      </c>
      <c r="K14" s="1"/>
      <c r="L14" s="10">
        <f t="shared" si="8"/>
        <v>7.4910935634338732E-2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>
      <c r="A15" s="1"/>
      <c r="B15" s="1"/>
      <c r="C15" s="1"/>
      <c r="D15" s="1"/>
      <c r="E15" s="1"/>
      <c r="F15" s="1"/>
      <c r="G15" s="1"/>
      <c r="H15" s="1"/>
      <c r="I15" s="1"/>
      <c r="J15" s="1">
        <v>2</v>
      </c>
      <c r="K15" s="10">
        <v>7.6520000000000005E-2</v>
      </c>
      <c r="L15" s="10">
        <f t="shared" si="8"/>
        <v>7.6379391125712445E-2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>
      <c r="A16" s="28" t="s">
        <v>22</v>
      </c>
      <c r="B16" s="29"/>
      <c r="C16" s="1"/>
      <c r="D16" s="1"/>
      <c r="E16" s="1"/>
      <c r="F16" s="1"/>
      <c r="G16" s="1"/>
      <c r="H16" s="1"/>
      <c r="I16" s="1"/>
      <c r="J16" s="1">
        <v>3</v>
      </c>
      <c r="K16" s="10">
        <v>8.0229999999999996E-2</v>
      </c>
      <c r="L16" s="10">
        <f t="shared" si="8"/>
        <v>7.9340686281341777E-2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5.75" customHeight="1">
      <c r="A17" s="1" t="s">
        <v>23</v>
      </c>
      <c r="B17" s="1">
        <v>0.97902608482938336</v>
      </c>
      <c r="C17" s="1"/>
      <c r="D17" s="1"/>
      <c r="E17" s="1"/>
      <c r="F17" s="1"/>
      <c r="G17" s="1"/>
      <c r="H17" s="1"/>
      <c r="I17" s="1"/>
      <c r="J17" s="1">
        <v>3.4</v>
      </c>
      <c r="K17" s="1"/>
      <c r="L17" s="10">
        <f t="shared" si="8"/>
        <v>8.0508240208146647E-2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customHeight="1">
      <c r="A18" s="1" t="s">
        <v>24</v>
      </c>
      <c r="B18" s="1">
        <v>0.9584920747763509</v>
      </c>
      <c r="C18" s="1"/>
      <c r="D18" s="1"/>
      <c r="E18" s="1"/>
      <c r="F18" s="1"/>
      <c r="G18" s="1"/>
      <c r="H18" s="1"/>
      <c r="I18" s="1"/>
      <c r="J18" s="1">
        <v>4</v>
      </c>
      <c r="K18" s="10">
        <v>8.2890000000000005E-2</v>
      </c>
      <c r="L18" s="10">
        <f t="shared" si="8"/>
        <v>8.2211995735199092E-2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customHeight="1">
      <c r="A19" s="1" t="s">
        <v>25</v>
      </c>
      <c r="B19" s="1">
        <v>0.94070296396621544</v>
      </c>
      <c r="C19" s="1"/>
      <c r="D19" s="1"/>
      <c r="E19" s="1"/>
      <c r="F19" s="1"/>
      <c r="G19" s="1"/>
      <c r="H19" s="1"/>
      <c r="I19" s="1"/>
      <c r="J19" s="1">
        <v>5</v>
      </c>
      <c r="K19" s="10">
        <v>8.516E-2</v>
      </c>
      <c r="L19" s="10">
        <f t="shared" si="8"/>
        <v>8.4846321968546856E-2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customHeight="1">
      <c r="A20" s="1" t="s">
        <v>26</v>
      </c>
      <c r="B20" s="1">
        <v>1.6955482155078148E-3</v>
      </c>
      <c r="C20" s="1"/>
      <c r="D20" s="1"/>
      <c r="E20" s="1"/>
      <c r="F20" s="1"/>
      <c r="G20" s="1"/>
      <c r="H20" s="1"/>
      <c r="I20" s="1"/>
      <c r="J20" s="1">
        <v>5.25</v>
      </c>
      <c r="K20" s="1"/>
      <c r="L20" s="10">
        <f t="shared" si="8"/>
        <v>8.5450648626952133E-2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12" t="s">
        <v>27</v>
      </c>
      <c r="B21" s="12">
        <v>11</v>
      </c>
      <c r="C21" s="1"/>
      <c r="D21" s="1"/>
      <c r="E21" s="1"/>
      <c r="F21" s="1"/>
      <c r="G21" s="1"/>
      <c r="H21" s="1"/>
      <c r="I21" s="1"/>
      <c r="J21" s="1">
        <v>6</v>
      </c>
      <c r="K21" s="10">
        <v>8.7239999999999998E-2</v>
      </c>
      <c r="L21" s="10">
        <f t="shared" si="8"/>
        <v>8.7096667462647562E-2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"/>
      <c r="B22" s="1"/>
      <c r="C22" s="1"/>
      <c r="D22" s="1"/>
      <c r="E22" s="1"/>
      <c r="F22" s="1"/>
      <c r="G22" s="1"/>
      <c r="H22" s="1"/>
      <c r="I22" s="1"/>
      <c r="J22" s="1">
        <v>7</v>
      </c>
      <c r="K22" s="10">
        <v>8.8459999999999997E-2</v>
      </c>
      <c r="L22" s="10">
        <f t="shared" si="8"/>
        <v>8.8816034698763757E-2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>
      <c r="A23" s="1" t="s">
        <v>28</v>
      </c>
      <c r="B23" s="1"/>
      <c r="C23" s="1"/>
      <c r="D23" s="1"/>
      <c r="E23" s="1"/>
      <c r="F23" s="1"/>
      <c r="G23" s="1"/>
      <c r="H23" s="1"/>
      <c r="I23" s="1"/>
      <c r="J23" s="1">
        <v>8</v>
      </c>
      <c r="K23" s="10">
        <v>8.9149999999999993E-2</v>
      </c>
      <c r="L23" s="10">
        <f t="shared" si="8"/>
        <v>8.9857426158157866E-2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>
      <c r="A24" s="11"/>
      <c r="B24" s="11" t="s">
        <v>29</v>
      </c>
      <c r="C24" s="11" t="s">
        <v>30</v>
      </c>
      <c r="D24" s="11" t="s">
        <v>31</v>
      </c>
      <c r="E24" s="11" t="s">
        <v>32</v>
      </c>
      <c r="F24" s="11" t="s">
        <v>33</v>
      </c>
      <c r="G24" s="1"/>
      <c r="H24" s="1"/>
      <c r="I24" s="1"/>
      <c r="J24" s="1">
        <v>8.3000000000000007</v>
      </c>
      <c r="K24" s="1"/>
      <c r="L24" s="10">
        <f t="shared" si="8"/>
        <v>9.001566219046403E-2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1" t="s">
        <v>34</v>
      </c>
      <c r="B25" s="1">
        <v>3</v>
      </c>
      <c r="C25" s="1">
        <v>4.6470337737858136E-4</v>
      </c>
      <c r="D25" s="1">
        <v>1.5490112579286046E-4</v>
      </c>
      <c r="E25" s="1">
        <v>53.880831088547232</v>
      </c>
      <c r="F25" s="1">
        <v>3.3369637179593537E-5</v>
      </c>
      <c r="G25" s="1"/>
      <c r="H25" s="1"/>
      <c r="I25" s="1"/>
      <c r="J25" s="1">
        <v>9</v>
      </c>
      <c r="K25" s="1"/>
      <c r="L25" s="10">
        <f t="shared" si="8"/>
        <v>9.0073844322092422E-2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>
      <c r="A26" s="1" t="s">
        <v>35</v>
      </c>
      <c r="B26" s="1">
        <v>7</v>
      </c>
      <c r="C26" s="1">
        <v>2.0124186257782146E-5</v>
      </c>
      <c r="D26" s="1">
        <v>2.8748837511117353E-6</v>
      </c>
      <c r="E26" s="1"/>
      <c r="F26" s="1"/>
      <c r="G26" s="1"/>
      <c r="H26" s="1"/>
      <c r="I26" s="1"/>
      <c r="J26" s="1">
        <v>10</v>
      </c>
      <c r="K26" s="10">
        <v>8.967E-2</v>
      </c>
      <c r="L26" s="10">
        <f t="shared" si="8"/>
        <v>8.9318291671829919E-2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>
      <c r="A27" s="12" t="s">
        <v>36</v>
      </c>
      <c r="B27" s="12">
        <v>10</v>
      </c>
      <c r="C27" s="12">
        <v>4.8482756363636351E-4</v>
      </c>
      <c r="D27" s="12"/>
      <c r="E27" s="12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>
      <c r="A29" s="11"/>
      <c r="B29" s="11" t="s">
        <v>37</v>
      </c>
      <c r="C29" s="11" t="s">
        <v>26</v>
      </c>
      <c r="D29" s="11" t="s">
        <v>38</v>
      </c>
      <c r="E29" s="11" t="s">
        <v>39</v>
      </c>
      <c r="F29" s="11" t="s">
        <v>40</v>
      </c>
      <c r="G29" s="11" t="s">
        <v>41</v>
      </c>
      <c r="H29" s="11" t="s">
        <v>42</v>
      </c>
      <c r="I29" s="11" t="s">
        <v>43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>
      <c r="A30" s="1" t="s">
        <v>44</v>
      </c>
      <c r="B30" s="13">
        <v>7.0774833784087665E-2</v>
      </c>
      <c r="C30" s="1">
        <v>1.9579894412691595E-3</v>
      </c>
      <c r="D30" s="1">
        <v>36.14668817530076</v>
      </c>
      <c r="E30" s="1">
        <v>3.221631332000208E-9</v>
      </c>
      <c r="F30" s="1">
        <v>6.6144924466899999E-2</v>
      </c>
      <c r="G30" s="1">
        <v>7.5404743101275332E-2</v>
      </c>
      <c r="H30" s="1">
        <v>6.6144924466899999E-2</v>
      </c>
      <c r="I30" s="1">
        <v>7.5404743101275332E-2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>
      <c r="A31" s="1" t="s">
        <v>45</v>
      </c>
      <c r="B31" s="13">
        <v>2.5492701621969162E-3</v>
      </c>
      <c r="C31" s="1">
        <v>1.8055776446050573E-3</v>
      </c>
      <c r="D31" s="1">
        <v>1.4118862015233526</v>
      </c>
      <c r="E31" s="1">
        <v>0.20085682735705351</v>
      </c>
      <c r="F31" s="1">
        <v>-1.7202425243699805E-3</v>
      </c>
      <c r="G31" s="1">
        <v>6.8187828487638134E-3</v>
      </c>
      <c r="H31" s="1">
        <v>-1.7202425243699805E-3</v>
      </c>
      <c r="I31" s="1">
        <v>6.8187828487638134E-3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>
      <c r="A32" s="1" t="s">
        <v>46</v>
      </c>
      <c r="B32" s="13">
        <v>1.7550342722023757E-4</v>
      </c>
      <c r="C32" s="1">
        <v>4.0792597266672706E-4</v>
      </c>
      <c r="D32" s="1">
        <v>0.4302335202461422</v>
      </c>
      <c r="E32" s="1">
        <v>0.67996094105742033</v>
      </c>
      <c r="F32" s="1">
        <v>-7.8908822060208073E-4</v>
      </c>
      <c r="G32" s="1">
        <v>1.140095075042556E-3</v>
      </c>
      <c r="H32" s="1">
        <v>-7.8908822060208073E-4</v>
      </c>
      <c r="I32" s="1">
        <v>1.140095075042556E-3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>
      <c r="A33" s="12" t="s">
        <v>47</v>
      </c>
      <c r="B33" s="14">
        <v>-2.4499586456250665E-5</v>
      </c>
      <c r="C33" s="12">
        <v>2.5578422567828759E-5</v>
      </c>
      <c r="D33" s="12">
        <v>-0.95782241423538761</v>
      </c>
      <c r="E33" s="12">
        <v>0.37005627090890003</v>
      </c>
      <c r="F33" s="12">
        <v>-8.4982944777626745E-5</v>
      </c>
      <c r="G33" s="12">
        <v>3.5983771865125415E-5</v>
      </c>
      <c r="H33" s="12">
        <v>-8.4982944777626745E-5</v>
      </c>
      <c r="I33" s="12">
        <v>3.5983771865125415E-5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A16:B16"/>
  </mergeCell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T1000"/>
  <sheetViews>
    <sheetView tabSelected="1" topLeftCell="A15" workbookViewId="0"/>
  </sheetViews>
  <sheetFormatPr baseColWidth="10" defaultColWidth="11.1640625" defaultRowHeight="15" customHeight="1"/>
  <cols>
    <col min="1" max="7" width="10.5" customWidth="1"/>
    <col min="8" max="8" width="16.5" customWidth="1"/>
    <col min="9" max="15" width="10.5" customWidth="1"/>
    <col min="16" max="16" width="10.83203125" customWidth="1"/>
    <col min="17" max="26" width="10.5" customWidth="1"/>
  </cols>
  <sheetData>
    <row r="1" spans="1:20" ht="15.75" customHeight="1">
      <c r="A1" s="15" t="s">
        <v>48</v>
      </c>
    </row>
    <row r="2" spans="1:20" ht="15.75" customHeight="1"/>
    <row r="3" spans="1:20" ht="15.75" customHeight="1"/>
    <row r="4" spans="1:20" ht="15.75" customHeight="1">
      <c r="A4" s="16" t="s">
        <v>49</v>
      </c>
      <c r="B4" s="16" t="s">
        <v>50</v>
      </c>
      <c r="C4" s="16" t="s">
        <v>51</v>
      </c>
      <c r="D4" s="16" t="s">
        <v>52</v>
      </c>
      <c r="E4" s="16" t="s">
        <v>53</v>
      </c>
      <c r="F4" s="16" t="s">
        <v>54</v>
      </c>
      <c r="G4" s="8"/>
      <c r="H4" s="8"/>
      <c r="I4" s="8"/>
      <c r="J4" s="8"/>
      <c r="K4" s="8"/>
      <c r="L4" s="8"/>
      <c r="M4" s="8"/>
    </row>
    <row r="5" spans="1:20" ht="15.75" customHeight="1">
      <c r="A5" s="17">
        <v>5.8999999999999997E-2</v>
      </c>
      <c r="B5" s="17">
        <v>-1.6E-2</v>
      </c>
      <c r="C5" s="17">
        <v>-5.0000000000000001E-3</v>
      </c>
      <c r="D5" s="17">
        <v>5</v>
      </c>
      <c r="E5" s="17">
        <v>0.01</v>
      </c>
      <c r="F5" s="17">
        <v>0.5</v>
      </c>
      <c r="G5" s="8"/>
      <c r="H5" s="8"/>
      <c r="I5" s="8"/>
      <c r="J5" s="8"/>
      <c r="K5" s="8"/>
      <c r="L5" s="8"/>
      <c r="M5" s="8"/>
    </row>
    <row r="6" spans="1:20" ht="15.75" customHeight="1">
      <c r="A6" s="8"/>
      <c r="B6" s="8"/>
      <c r="C6" s="8"/>
      <c r="D6" s="8"/>
      <c r="E6" s="8"/>
      <c r="F6" s="8"/>
      <c r="G6" s="18" t="s">
        <v>55</v>
      </c>
      <c r="H6" s="8"/>
      <c r="I6" s="8"/>
      <c r="J6" s="8"/>
      <c r="K6" s="8"/>
      <c r="L6" s="8"/>
      <c r="M6" s="8"/>
    </row>
    <row r="7" spans="1:20" ht="15.75" customHeight="1">
      <c r="A7" s="16" t="s">
        <v>56</v>
      </c>
      <c r="B7" s="16" t="s">
        <v>57</v>
      </c>
      <c r="C7" s="8"/>
      <c r="D7" s="8"/>
      <c r="E7" s="8"/>
      <c r="F7" s="8"/>
      <c r="G7" s="16" t="s">
        <v>56</v>
      </c>
      <c r="H7" s="16" t="s">
        <v>58</v>
      </c>
      <c r="I7" s="16" t="s">
        <v>59</v>
      </c>
      <c r="J7" s="16" t="s">
        <v>57</v>
      </c>
      <c r="K7" s="19" t="s">
        <v>60</v>
      </c>
      <c r="L7" s="16" t="s">
        <v>61</v>
      </c>
      <c r="M7" s="16" t="s">
        <v>62</v>
      </c>
      <c r="N7" s="16" t="s">
        <v>63</v>
      </c>
      <c r="O7" s="16" t="s">
        <v>64</v>
      </c>
      <c r="P7" s="16" t="s">
        <v>65</v>
      </c>
      <c r="Q7" s="16" t="s">
        <v>66</v>
      </c>
      <c r="R7" s="16" t="s">
        <v>67</v>
      </c>
      <c r="S7" s="16" t="s">
        <v>68</v>
      </c>
      <c r="T7" s="16" t="s">
        <v>69</v>
      </c>
    </row>
    <row r="8" spans="1:20" ht="15.75" customHeight="1">
      <c r="A8" s="8">
        <v>1</v>
      </c>
      <c r="B8" s="20">
        <f t="array" ref="B8">NelsonSiegelAugmentedSpotRate($A$5,$B$5,$C$5,$D$5,$E$5,$F$5,A8)</f>
        <v>4.7030353590028801E-2</v>
      </c>
      <c r="C8" s="8"/>
      <c r="D8" s="8"/>
      <c r="E8" s="8"/>
      <c r="F8" s="8"/>
      <c r="G8" s="8">
        <v>1</v>
      </c>
      <c r="H8" s="21">
        <v>4</v>
      </c>
      <c r="I8" s="21"/>
      <c r="J8" s="21">
        <f t="shared" ref="J8:J10" si="0">H8/(1+B8)^G8</f>
        <v>3.8203285953314636</v>
      </c>
      <c r="K8" s="21">
        <f t="shared" ref="K8:K10" si="1">H8*M8</f>
        <v>3.8162337522086731</v>
      </c>
      <c r="L8" s="21"/>
      <c r="M8" s="22">
        <f t="shared" ref="M8:M10" si="2">EXP(-G8*B8)</f>
        <v>0.95405843805216828</v>
      </c>
      <c r="N8" s="22">
        <f t="shared" ref="N8:N10" si="3">M8*(1-EXP(-G8/$D$5))*$D$5/G8</f>
        <v>0.86470727292656746</v>
      </c>
      <c r="O8" s="22">
        <f t="shared" ref="O8:O10" si="4">M8*((1-EXP(-G8/$D$5))*$D$5/G8-EXP(-G8/$D$5))</f>
        <v>8.3590289459712586E-2</v>
      </c>
      <c r="P8" s="22">
        <f t="shared" ref="P8:P10" si="5">M8*((1-EXP(-G8/$F$5))*$F$5/G8-EXP(-G8/$F$5))</f>
        <v>0.28335256561897837</v>
      </c>
      <c r="Q8" s="15">
        <f t="shared" ref="Q8:Q10" si="6">-G8*H8*M8</f>
        <v>-3.8162337522086731</v>
      </c>
      <c r="R8" s="15">
        <f t="shared" ref="R8:R10" si="7">-G8*H8*N8</f>
        <v>-3.4588290917062698</v>
      </c>
      <c r="S8" s="15">
        <f t="shared" ref="S8:S10" si="8">-G8*H8*O8</f>
        <v>-0.33436115783885034</v>
      </c>
      <c r="T8" s="15">
        <f t="shared" ref="T8:T10" si="9">-G8*H8*P8</f>
        <v>-1.1334102624759135</v>
      </c>
    </row>
    <row r="9" spans="1:20" ht="15.75" customHeight="1">
      <c r="A9" s="8">
        <v>2</v>
      </c>
      <c r="B9" s="20">
        <f t="array" ref="B9">NelsonSiegelAugmentedSpotRate($A$5,$B$5,$C$5,$D$5,$E$5,$F$5,A9)</f>
        <v>4.7314457160940078E-2</v>
      </c>
      <c r="C9" s="8"/>
      <c r="D9" s="8"/>
      <c r="E9" s="8"/>
      <c r="F9" s="8"/>
      <c r="G9" s="8">
        <v>2</v>
      </c>
      <c r="H9" s="21">
        <v>4</v>
      </c>
      <c r="I9" s="21"/>
      <c r="J9" s="21">
        <f t="shared" si="0"/>
        <v>3.646748341785905</v>
      </c>
      <c r="K9" s="21">
        <f t="shared" si="1"/>
        <v>3.638841809441749</v>
      </c>
      <c r="L9" s="21"/>
      <c r="M9" s="22">
        <f t="shared" si="2"/>
        <v>0.90971045236043724</v>
      </c>
      <c r="N9" s="22">
        <f t="shared" si="3"/>
        <v>0.74978325013771663</v>
      </c>
      <c r="O9" s="22">
        <f t="shared" si="4"/>
        <v>0.13998609783236612</v>
      </c>
      <c r="P9" s="22">
        <f t="shared" si="5"/>
        <v>0.20660020291668332</v>
      </c>
      <c r="Q9" s="15">
        <f t="shared" si="6"/>
        <v>-7.2776836188834979</v>
      </c>
      <c r="R9" s="15">
        <f t="shared" si="7"/>
        <v>-5.998266001101733</v>
      </c>
      <c r="S9" s="15">
        <f t="shared" si="8"/>
        <v>-1.119888782658929</v>
      </c>
      <c r="T9" s="15">
        <f t="shared" si="9"/>
        <v>-1.6528016233334666</v>
      </c>
    </row>
    <row r="10" spans="1:20" ht="15.75" customHeight="1">
      <c r="A10" s="8">
        <v>3</v>
      </c>
      <c r="B10" s="20">
        <f t="array" ref="B10">NelsonSiegelAugmentedSpotRate($A$5,$B$5,$C$5,$D$5,$E$5,$F$5,A10)</f>
        <v>4.7590213335033278E-2</v>
      </c>
      <c r="C10" s="8"/>
      <c r="D10" s="8"/>
      <c r="E10" s="8"/>
      <c r="F10" s="8"/>
      <c r="G10" s="8">
        <v>3</v>
      </c>
      <c r="H10" s="21">
        <v>104</v>
      </c>
      <c r="I10" s="21"/>
      <c r="J10" s="21">
        <f t="shared" si="0"/>
        <v>90.460512025634756</v>
      </c>
      <c r="K10" s="21">
        <f t="shared" si="1"/>
        <v>90.163100602046057</v>
      </c>
      <c r="L10" s="21"/>
      <c r="M10" s="22">
        <f t="shared" si="2"/>
        <v>0.86695289040428902</v>
      </c>
      <c r="N10" s="22">
        <f t="shared" si="3"/>
        <v>0.65193176034177669</v>
      </c>
      <c r="O10" s="22">
        <f t="shared" si="4"/>
        <v>0.17613792614255369</v>
      </c>
      <c r="P10" s="22">
        <f t="shared" si="5"/>
        <v>0.14198502680919856</v>
      </c>
      <c r="Q10" s="15">
        <f t="shared" si="6"/>
        <v>-270.4893018061382</v>
      </c>
      <c r="R10" s="15">
        <f t="shared" si="7"/>
        <v>-203.40270922663433</v>
      </c>
      <c r="S10" s="15">
        <f t="shared" si="8"/>
        <v>-54.955032956476749</v>
      </c>
      <c r="T10" s="15">
        <f t="shared" si="9"/>
        <v>-44.29932836446995</v>
      </c>
    </row>
    <row r="11" spans="1:20" ht="15.75" customHeight="1">
      <c r="A11" s="8">
        <v>4</v>
      </c>
      <c r="B11" s="20">
        <f t="array" ref="B11">NelsonSiegelAugmentedSpotRate($A$5,$B$5,$C$5,$D$5,$E$5,$F$5,A11)</f>
        <v>4.8037756174099264E-2</v>
      </c>
      <c r="C11" s="8"/>
      <c r="D11" s="8"/>
      <c r="E11" s="8"/>
      <c r="F11" s="8"/>
      <c r="G11" s="8"/>
      <c r="H11" s="21"/>
      <c r="I11" s="21"/>
      <c r="J11" s="21"/>
      <c r="K11" s="21"/>
      <c r="L11" s="21"/>
      <c r="M11" s="23"/>
    </row>
    <row r="12" spans="1:20" ht="15.75" customHeight="1">
      <c r="A12" s="8">
        <v>5</v>
      </c>
      <c r="B12" s="20">
        <f t="array" ref="B12">NelsonSiegelAugmentedSpotRate($A$5,$B$5,$C$5,$D$5,$E$5,$F$5,A12)</f>
        <v>4.856436607123011E-2</v>
      </c>
      <c r="C12" s="8"/>
      <c r="D12" s="8"/>
      <c r="E12" s="8"/>
      <c r="F12" s="8"/>
      <c r="G12" s="8"/>
      <c r="H12" s="16" t="s">
        <v>70</v>
      </c>
      <c r="I12" s="21"/>
      <c r="J12" s="21">
        <f t="shared" ref="J12:K12" si="10">SUM(J8:J10)</f>
        <v>97.927588962752125</v>
      </c>
      <c r="K12" s="21">
        <f t="shared" si="10"/>
        <v>97.618176163696475</v>
      </c>
      <c r="L12" s="21"/>
      <c r="M12" s="23"/>
      <c r="N12" s="16" t="s">
        <v>71</v>
      </c>
      <c r="Q12" s="15">
        <f t="shared" ref="Q12:T12" si="11">SUM(Q8:Q10)</f>
        <v>-281.58321917723038</v>
      </c>
      <c r="R12" s="15">
        <f t="shared" si="11"/>
        <v>-212.85980431944233</v>
      </c>
      <c r="S12" s="15">
        <f t="shared" si="11"/>
        <v>-56.409282896974531</v>
      </c>
      <c r="T12" s="15">
        <f t="shared" si="11"/>
        <v>-47.08554025027933</v>
      </c>
    </row>
    <row r="13" spans="1:20" ht="15.75" customHeight="1">
      <c r="A13" s="8">
        <v>6</v>
      </c>
      <c r="B13" s="20">
        <f t="array" ref="B13">NelsonSiegelAugmentedSpotRate($A$5,$B$5,$C$5,$D$5,$E$5,$F$5,A13)</f>
        <v>4.9110136539057388E-2</v>
      </c>
      <c r="C13" s="8"/>
      <c r="D13" s="8"/>
      <c r="E13" s="8"/>
      <c r="F13" s="8"/>
      <c r="G13" s="8"/>
      <c r="H13" s="21"/>
      <c r="I13" s="21"/>
      <c r="J13" s="21"/>
      <c r="K13" s="21"/>
      <c r="L13" s="21"/>
      <c r="M13" s="23"/>
    </row>
    <row r="14" spans="1:20" ht="15.75" customHeight="1">
      <c r="A14" s="8">
        <v>7</v>
      </c>
      <c r="B14" s="20">
        <f t="array" ref="B14">NelsonSiegelAugmentedSpotRate($A$5,$B$5,$C$5,$D$5,$E$5,$F$5,A14)</f>
        <v>4.9646216083881561E-2</v>
      </c>
      <c r="C14" s="8"/>
      <c r="D14" s="8"/>
      <c r="E14" s="8"/>
      <c r="F14" s="8"/>
      <c r="G14" s="8"/>
      <c r="H14" s="21"/>
      <c r="I14" s="21"/>
      <c r="J14" s="16" t="s">
        <v>72</v>
      </c>
      <c r="K14" s="8"/>
      <c r="L14" s="21">
        <v>19.88</v>
      </c>
      <c r="M14" s="23"/>
    </row>
    <row r="15" spans="1:20" ht="15.75" customHeight="1">
      <c r="A15" s="8">
        <v>8</v>
      </c>
      <c r="B15" s="20">
        <f t="array" ref="B15">NelsonSiegelAugmentedSpotRate($A$5,$B$5,$C$5,$D$5,$E$5,$F$5,A15)</f>
        <v>5.0159373192966893E-2</v>
      </c>
      <c r="C15" s="8"/>
      <c r="D15" s="8"/>
      <c r="E15" s="8"/>
      <c r="F15" s="8"/>
      <c r="G15" s="8"/>
      <c r="H15" s="21"/>
      <c r="I15" s="21"/>
      <c r="J15" s="21"/>
      <c r="K15" s="21"/>
      <c r="L15" s="21"/>
      <c r="M15" s="23"/>
    </row>
    <row r="16" spans="1:20" ht="15.75" customHeight="1">
      <c r="A16" s="8">
        <v>9</v>
      </c>
      <c r="B16" s="20">
        <f t="array" ref="B16">NelsonSiegelAugmentedSpotRate($A$5,$B$5,$C$5,$D$5,$E$5,$F$5,A16)</f>
        <v>5.0643870198487768E-2</v>
      </c>
      <c r="C16" s="8"/>
      <c r="D16" s="8"/>
      <c r="E16" s="8"/>
      <c r="F16" s="8"/>
      <c r="G16" s="8"/>
      <c r="H16" s="21"/>
      <c r="I16" s="21"/>
      <c r="J16" s="21"/>
      <c r="K16" s="21"/>
      <c r="L16" s="21"/>
      <c r="M16" s="23"/>
    </row>
    <row r="17" spans="1:20" ht="15.75" customHeight="1">
      <c r="A17" s="8">
        <v>10</v>
      </c>
      <c r="B17" s="20">
        <f t="array" ref="B17">NelsonSiegelAugmentedSpotRate($A$5,$B$5,$C$5,$D$5,$E$5,$F$5,A17)</f>
        <v>5.1097696868525382E-2</v>
      </c>
      <c r="C17" s="8"/>
      <c r="D17" s="8"/>
      <c r="E17" s="8"/>
      <c r="F17" s="8"/>
      <c r="G17" s="8"/>
      <c r="H17" s="21"/>
      <c r="I17" s="21"/>
      <c r="J17" s="21"/>
      <c r="K17" s="21"/>
      <c r="L17" s="21"/>
      <c r="M17" s="23"/>
    </row>
    <row r="18" spans="1:20" ht="15.75" customHeight="1">
      <c r="A18" s="8">
        <v>11</v>
      </c>
      <c r="B18" s="20">
        <f t="array" ref="B18">NelsonSiegelAugmentedSpotRate($A$5,$B$5,$C$5,$D$5,$E$5,$F$5,A18)</f>
        <v>5.1520773209626773E-2</v>
      </c>
      <c r="C18" s="8" t="e">
        <v>#VALUE!</v>
      </c>
      <c r="D18" s="8"/>
      <c r="E18" s="8"/>
      <c r="F18" s="8"/>
      <c r="G18" s="18" t="s">
        <v>73</v>
      </c>
      <c r="H18" s="8"/>
      <c r="I18" s="8"/>
      <c r="J18" s="8"/>
      <c r="K18" s="8"/>
      <c r="L18" s="8"/>
      <c r="M18" s="8"/>
    </row>
    <row r="19" spans="1:20" ht="15.75" customHeight="1">
      <c r="A19" s="8">
        <v>12</v>
      </c>
      <c r="B19" s="20">
        <f t="array" ref="B19">NelsonSiegelAugmentedSpotRate($A$5,$B$5,$C$5,$D$5,$E$5,$F$5,A19)</f>
        <v>5.1914038524002844E-2</v>
      </c>
      <c r="C19" s="8"/>
      <c r="D19" s="8"/>
      <c r="E19" s="8"/>
      <c r="F19" s="8"/>
      <c r="G19" s="16" t="s">
        <v>56</v>
      </c>
      <c r="H19" s="16" t="s">
        <v>58</v>
      </c>
      <c r="I19" s="16" t="s">
        <v>59</v>
      </c>
      <c r="J19" s="16" t="s">
        <v>57</v>
      </c>
      <c r="K19" s="19" t="s">
        <v>60</v>
      </c>
      <c r="L19" s="16" t="s">
        <v>61</v>
      </c>
      <c r="M19" s="16" t="s">
        <v>62</v>
      </c>
      <c r="N19" s="16" t="s">
        <v>63</v>
      </c>
      <c r="O19" s="16" t="s">
        <v>64</v>
      </c>
      <c r="P19" s="16" t="s">
        <v>65</v>
      </c>
      <c r="Q19" s="16" t="s">
        <v>66</v>
      </c>
      <c r="R19" s="16" t="s">
        <v>67</v>
      </c>
      <c r="S19" s="16" t="s">
        <v>68</v>
      </c>
      <c r="T19" s="16" t="s">
        <v>69</v>
      </c>
    </row>
    <row r="20" spans="1:20" ht="15.75" customHeight="1">
      <c r="A20" s="8">
        <v>13</v>
      </c>
      <c r="B20" s="20">
        <f t="array" ref="B20">NelsonSiegelAugmentedSpotRate($A$5,$B$5,$C$5,$D$5,$E$5,$F$5,A20)</f>
        <v>5.2278962176595924E-2</v>
      </c>
      <c r="C20" s="8"/>
      <c r="D20" s="8"/>
      <c r="E20" s="8"/>
      <c r="F20" s="8"/>
      <c r="G20" s="8">
        <v>1</v>
      </c>
      <c r="H20" s="21">
        <v>5</v>
      </c>
      <c r="I20" s="21"/>
      <c r="J20" s="21">
        <f t="shared" ref="J20:J26" si="12">H20/(1+B20)^G20</f>
        <v>4.7515917163807062</v>
      </c>
      <c r="K20" s="21">
        <f t="shared" ref="K20:K26" si="13">H20*M20</f>
        <v>4.7702921902608413</v>
      </c>
      <c r="L20" s="21"/>
      <c r="M20" s="22">
        <f t="shared" ref="M20:M26" si="14">EXP(-G20*B8)</f>
        <v>0.95405843805216828</v>
      </c>
      <c r="N20" s="22">
        <f t="shared" ref="N20:N26" si="15">M20*(1-EXP(-G20/$D$5))*$D$5/G20</f>
        <v>0.86470727292656746</v>
      </c>
      <c r="O20" s="22">
        <f t="shared" ref="O20:O26" si="16">M20*((1-EXP(-G20/$D$5))*$D$5/G20-EXP(-G20/$D$5))</f>
        <v>8.3590289459712586E-2</v>
      </c>
      <c r="P20" s="22">
        <f t="shared" ref="P20:P26" si="17">M20*((1-EXP(-G20/$F$5))*$F$5/G20-EXP(-G20/$F$5))</f>
        <v>0.28335256561897837</v>
      </c>
      <c r="Q20" s="15">
        <f t="shared" ref="Q20:Q26" si="18">-G20*H20*M20</f>
        <v>-4.7702921902608413</v>
      </c>
      <c r="R20" s="15">
        <f t="shared" ref="R20:R26" si="19">-G20*H20*N20</f>
        <v>-4.3235363646328375</v>
      </c>
      <c r="S20" s="15">
        <f t="shared" ref="S20:S26" si="20">-G20*H20*O20</f>
        <v>-0.41795144729856293</v>
      </c>
      <c r="T20" s="15">
        <f t="shared" ref="T20:T26" si="21">-G20*H20*P20</f>
        <v>-1.4167628280948918</v>
      </c>
    </row>
    <row r="21" spans="1:20" ht="15.75" customHeight="1">
      <c r="A21" s="8">
        <v>14</v>
      </c>
      <c r="B21" s="20">
        <f t="array" ref="B21">NelsonSiegelAugmentedSpotRate($A$5,$B$5,$C$5,$D$5,$E$5,$F$5,A21)</f>
        <v>5.261726863995092E-2</v>
      </c>
      <c r="C21" s="8"/>
      <c r="D21" s="8"/>
      <c r="E21" s="8"/>
      <c r="F21" s="8"/>
      <c r="G21" s="8">
        <v>2</v>
      </c>
      <c r="H21" s="21">
        <v>5</v>
      </c>
      <c r="I21" s="21"/>
      <c r="J21" s="21">
        <f t="shared" si="12"/>
        <v>4.5126226955002453</v>
      </c>
      <c r="K21" s="21">
        <f t="shared" si="13"/>
        <v>4.5485522618021861</v>
      </c>
      <c r="L21" s="21"/>
      <c r="M21" s="22">
        <f t="shared" si="14"/>
        <v>0.90971045236043724</v>
      </c>
      <c r="N21" s="22">
        <f t="shared" si="15"/>
        <v>0.74978325013771663</v>
      </c>
      <c r="O21" s="22">
        <f t="shared" si="16"/>
        <v>0.13998609783236612</v>
      </c>
      <c r="P21" s="22">
        <f t="shared" si="17"/>
        <v>0.20660020291668332</v>
      </c>
      <c r="Q21" s="15">
        <f t="shared" si="18"/>
        <v>-9.0971045236043722</v>
      </c>
      <c r="R21" s="15">
        <f t="shared" si="19"/>
        <v>-7.4978325013771663</v>
      </c>
      <c r="S21" s="15">
        <f t="shared" si="20"/>
        <v>-1.3998609783236613</v>
      </c>
      <c r="T21" s="15">
        <f t="shared" si="21"/>
        <v>-2.0660020291668331</v>
      </c>
    </row>
    <row r="22" spans="1:20" ht="15.75" customHeight="1">
      <c r="A22" s="8">
        <v>15</v>
      </c>
      <c r="B22" s="20">
        <f t="array" ref="B22">NelsonSiegelAugmentedSpotRate($A$5,$B$5,$C$5,$D$5,$E$5,$F$5,A22)</f>
        <v>5.2930778153746735E-2</v>
      </c>
      <c r="C22" s="8"/>
      <c r="D22" s="8"/>
      <c r="E22" s="8"/>
      <c r="F22" s="8"/>
      <c r="G22" s="8">
        <v>3</v>
      </c>
      <c r="H22" s="21">
        <v>5</v>
      </c>
      <c r="I22" s="21"/>
      <c r="J22" s="21">
        <f t="shared" si="12"/>
        <v>4.283221582732037</v>
      </c>
      <c r="K22" s="21">
        <f t="shared" si="13"/>
        <v>4.334764452021445</v>
      </c>
      <c r="L22" s="21"/>
      <c r="M22" s="22">
        <f t="shared" si="14"/>
        <v>0.86695289040428902</v>
      </c>
      <c r="N22" s="22">
        <f t="shared" si="15"/>
        <v>0.65193176034177669</v>
      </c>
      <c r="O22" s="22">
        <f t="shared" si="16"/>
        <v>0.17613792614255369</v>
      </c>
      <c r="P22" s="22">
        <f t="shared" si="17"/>
        <v>0.14198502680919856</v>
      </c>
      <c r="Q22" s="15">
        <f t="shared" si="18"/>
        <v>-13.004293356064336</v>
      </c>
      <c r="R22" s="15">
        <f t="shared" si="19"/>
        <v>-9.7789764051266506</v>
      </c>
      <c r="S22" s="15">
        <f t="shared" si="20"/>
        <v>-2.6420688921383055</v>
      </c>
      <c r="T22" s="15">
        <f t="shared" si="21"/>
        <v>-2.1297754021379784</v>
      </c>
    </row>
    <row r="23" spans="1:20" ht="15.75" customHeight="1">
      <c r="A23" s="8">
        <v>16</v>
      </c>
      <c r="B23" s="20">
        <f t="array" ref="B23">NelsonSiegelAugmentedSpotRate($A$5,$B$5,$C$5,$D$5,$E$5,$F$5,A23)</f>
        <v>5.3221312983499726E-2</v>
      </c>
      <c r="C23" s="8"/>
      <c r="D23" s="8"/>
      <c r="E23" s="8"/>
      <c r="F23" s="8"/>
      <c r="G23" s="8">
        <v>4</v>
      </c>
      <c r="H23" s="21">
        <v>5</v>
      </c>
      <c r="I23" s="21"/>
      <c r="J23" s="21">
        <f t="shared" si="12"/>
        <v>4.0634175193259594</v>
      </c>
      <c r="K23" s="21">
        <f t="shared" si="13"/>
        <v>4.1259111809197453</v>
      </c>
      <c r="L23" s="21"/>
      <c r="M23" s="22">
        <f t="shared" si="14"/>
        <v>0.82518223618394915</v>
      </c>
      <c r="N23" s="22">
        <f t="shared" si="15"/>
        <v>0.56800494598935347</v>
      </c>
      <c r="O23" s="22">
        <f t="shared" si="16"/>
        <v>0.19722666659688717</v>
      </c>
      <c r="P23" s="22">
        <f t="shared" si="17"/>
        <v>0.10283635949636381</v>
      </c>
      <c r="Q23" s="15">
        <f t="shared" si="18"/>
        <v>-16.503644723678981</v>
      </c>
      <c r="R23" s="15">
        <f t="shared" si="19"/>
        <v>-11.36009891978707</v>
      </c>
      <c r="S23" s="15">
        <f t="shared" si="20"/>
        <v>-3.9445333319377434</v>
      </c>
      <c r="T23" s="15">
        <f t="shared" si="21"/>
        <v>-2.0567271899272761</v>
      </c>
    </row>
    <row r="24" spans="1:20" ht="15.75" customHeight="1">
      <c r="A24" s="8">
        <v>17</v>
      </c>
      <c r="B24" s="20">
        <f t="array" ref="B24">NelsonSiegelAugmentedSpotRate($A$5,$B$5,$C$5,$D$5,$E$5,$F$5,A24)</f>
        <v>5.3490642428968324E-2</v>
      </c>
      <c r="C24" s="8"/>
      <c r="D24" s="8"/>
      <c r="E24" s="8"/>
      <c r="F24" s="8"/>
      <c r="G24" s="8">
        <v>5</v>
      </c>
      <c r="H24" s="21">
        <v>5</v>
      </c>
      <c r="J24" s="21">
        <f t="shared" si="12"/>
        <v>3.8531560014933595</v>
      </c>
      <c r="K24" s="21">
        <f t="shared" si="13"/>
        <v>3.9220562979835432</v>
      </c>
      <c r="M24" s="22">
        <f t="shared" si="14"/>
        <v>0.78441125959670865</v>
      </c>
      <c r="N24" s="22">
        <f t="shared" si="15"/>
        <v>0.49584248376768436</v>
      </c>
      <c r="O24" s="22">
        <f t="shared" si="16"/>
        <v>0.20727370793865993</v>
      </c>
      <c r="P24" s="22">
        <f t="shared" si="17"/>
        <v>7.8401952521971213E-2</v>
      </c>
      <c r="Q24" s="15">
        <f t="shared" si="18"/>
        <v>-19.610281489917718</v>
      </c>
      <c r="R24" s="15">
        <f t="shared" si="19"/>
        <v>-12.396062094192109</v>
      </c>
      <c r="S24" s="15">
        <f t="shared" si="20"/>
        <v>-5.1818426984664985</v>
      </c>
      <c r="T24" s="15">
        <f t="shared" si="21"/>
        <v>-1.9600488130492804</v>
      </c>
    </row>
    <row r="25" spans="1:20" ht="15.75" customHeight="1">
      <c r="A25" s="8">
        <v>18</v>
      </c>
      <c r="B25" s="20">
        <f t="array" ref="B25">NelsonSiegelAugmentedSpotRate($A$5,$B$5,$C$5,$D$5,$E$5,$F$5,A25)</f>
        <v>5.3740451437623439E-2</v>
      </c>
      <c r="C25" s="8"/>
      <c r="D25" s="8"/>
      <c r="E25" s="8"/>
      <c r="F25" s="8"/>
      <c r="G25" s="8">
        <v>6</v>
      </c>
      <c r="H25" s="21">
        <v>5</v>
      </c>
      <c r="J25" s="21">
        <f t="shared" si="12"/>
        <v>3.652313855346105</v>
      </c>
      <c r="K25" s="21">
        <f t="shared" si="13"/>
        <v>3.7239208054571864</v>
      </c>
      <c r="M25" s="22">
        <f t="shared" si="14"/>
        <v>0.7447841610914373</v>
      </c>
      <c r="N25" s="22">
        <f t="shared" si="15"/>
        <v>0.43371623553900934</v>
      </c>
      <c r="O25" s="22">
        <f t="shared" si="16"/>
        <v>0.20939155709438326</v>
      </c>
      <c r="P25" s="22">
        <f t="shared" si="17"/>
        <v>6.2060389302906374E-2</v>
      </c>
      <c r="Q25" s="15">
        <f t="shared" si="18"/>
        <v>-22.343524832743118</v>
      </c>
      <c r="R25" s="15">
        <f t="shared" si="19"/>
        <v>-13.011487066170281</v>
      </c>
      <c r="S25" s="15">
        <f t="shared" si="20"/>
        <v>-6.2817467128314979</v>
      </c>
      <c r="T25" s="15">
        <f t="shared" si="21"/>
        <v>-1.8618116790871913</v>
      </c>
    </row>
    <row r="26" spans="1:20" ht="15.75" customHeight="1">
      <c r="A26" s="8">
        <v>19</v>
      </c>
      <c r="B26" s="20">
        <f t="array" ref="B26">NelsonSiegelAugmentedSpotRate($A$5,$B$5,$C$5,$D$5,$E$5,$F$5,A26)</f>
        <v>5.3972323914275422E-2</v>
      </c>
      <c r="C26" s="8"/>
      <c r="D26" s="8"/>
      <c r="E26" s="8"/>
      <c r="F26" s="8"/>
      <c r="G26" s="8">
        <v>7</v>
      </c>
      <c r="H26" s="21">
        <v>105</v>
      </c>
      <c r="J26" s="21">
        <f t="shared" si="12"/>
        <v>72.674968191074413</v>
      </c>
      <c r="K26" s="21">
        <f t="shared" si="13"/>
        <v>74.17571737907943</v>
      </c>
      <c r="M26" s="22">
        <f t="shared" si="14"/>
        <v>0.70643540361028023</v>
      </c>
      <c r="N26" s="22">
        <f t="shared" si="15"/>
        <v>0.38016469847080125</v>
      </c>
      <c r="O26" s="22">
        <f t="shared" si="16"/>
        <v>0.20595987271964281</v>
      </c>
      <c r="P26" s="22">
        <f t="shared" si="17"/>
        <v>5.0459042306456127E-2</v>
      </c>
      <c r="Q26" s="15">
        <f t="shared" si="18"/>
        <v>-519.23002165355592</v>
      </c>
      <c r="R26" s="15">
        <f t="shared" si="19"/>
        <v>-279.42105337603891</v>
      </c>
      <c r="S26" s="15">
        <f t="shared" si="20"/>
        <v>-151.38050644893747</v>
      </c>
      <c r="T26" s="15">
        <f t="shared" si="21"/>
        <v>-37.087396095245253</v>
      </c>
    </row>
    <row r="27" spans="1:20" ht="15.75" customHeight="1">
      <c r="A27" s="8">
        <v>20</v>
      </c>
      <c r="B27" s="20">
        <f t="array" ref="B27">NelsonSiegelAugmentedSpotRate($A$5,$B$5,$C$5,$D$5,$E$5,$F$5,A27)</f>
        <v>5.418773529860952E-2</v>
      </c>
      <c r="C27" s="8"/>
      <c r="D27" s="8"/>
      <c r="E27" s="8"/>
      <c r="F27" s="8"/>
      <c r="G27" s="8"/>
    </row>
    <row r="28" spans="1:20" ht="15.75" customHeight="1">
      <c r="A28" s="8"/>
      <c r="B28" s="8"/>
      <c r="C28" s="8"/>
      <c r="D28" s="8"/>
      <c r="E28" s="8"/>
      <c r="F28" s="8"/>
      <c r="G28" s="8"/>
      <c r="H28" s="16" t="s">
        <v>70</v>
      </c>
      <c r="I28" s="21"/>
      <c r="J28" s="21">
        <f t="shared" ref="J28:K28" si="22">SUM(J20:J26)</f>
        <v>97.79129156185283</v>
      </c>
      <c r="K28" s="21">
        <f t="shared" si="22"/>
        <v>99.60121456752438</v>
      </c>
      <c r="L28" s="21"/>
      <c r="M28" s="23"/>
      <c r="N28" s="16" t="s">
        <v>71</v>
      </c>
      <c r="Q28" s="15">
        <f t="shared" ref="Q28:T28" si="23">SUM(Q20:Q26)</f>
        <v>-604.55916276982532</v>
      </c>
      <c r="R28" s="15">
        <f t="shared" si="23"/>
        <v>-337.78904672732506</v>
      </c>
      <c r="S28" s="15">
        <f t="shared" si="23"/>
        <v>-171.24851050993374</v>
      </c>
      <c r="T28" s="15">
        <f t="shared" si="23"/>
        <v>-48.578524036708707</v>
      </c>
    </row>
    <row r="29" spans="1:20" ht="15.75" customHeight="1">
      <c r="A29" s="8"/>
      <c r="B29" s="8"/>
      <c r="C29" s="8"/>
      <c r="D29" s="8"/>
      <c r="E29" s="8"/>
      <c r="F29" s="8"/>
      <c r="G29" s="8"/>
      <c r="H29" s="21"/>
      <c r="I29" s="21"/>
      <c r="J29" s="21"/>
      <c r="K29" s="21"/>
      <c r="L29" s="21"/>
      <c r="M29" s="23"/>
    </row>
    <row r="30" spans="1:20" ht="15.75" customHeight="1">
      <c r="A30" s="8"/>
      <c r="B30" s="8"/>
      <c r="C30" s="8"/>
      <c r="D30" s="8"/>
      <c r="E30" s="8"/>
      <c r="F30" s="8"/>
      <c r="G30" s="8"/>
      <c r="H30" s="21"/>
      <c r="I30" s="21"/>
      <c r="J30" s="16" t="s">
        <v>72</v>
      </c>
      <c r="K30" s="8"/>
      <c r="L30" s="21">
        <v>19.88</v>
      </c>
      <c r="M30" s="23"/>
    </row>
    <row r="31" spans="1:2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1:20" ht="15.75" customHeight="1"/>
    <row r="33" spans="7:20" ht="15.75" customHeight="1">
      <c r="G33" s="18" t="s">
        <v>74</v>
      </c>
      <c r="H33" s="8"/>
      <c r="I33" s="8"/>
      <c r="J33" s="8"/>
      <c r="K33" s="8"/>
      <c r="L33" s="8"/>
      <c r="M33" s="8"/>
    </row>
    <row r="34" spans="7:20" ht="15.75" customHeight="1">
      <c r="G34" s="16" t="s">
        <v>56</v>
      </c>
      <c r="H34" s="16" t="s">
        <v>58</v>
      </c>
      <c r="I34" s="16" t="s">
        <v>59</v>
      </c>
      <c r="J34" s="16" t="s">
        <v>57</v>
      </c>
      <c r="K34" s="19" t="s">
        <v>60</v>
      </c>
      <c r="L34" s="16" t="s">
        <v>61</v>
      </c>
      <c r="M34" s="16" t="s">
        <v>62</v>
      </c>
      <c r="N34" s="16" t="s">
        <v>63</v>
      </c>
      <c r="O34" s="16" t="s">
        <v>64</v>
      </c>
      <c r="P34" s="16" t="s">
        <v>65</v>
      </c>
      <c r="Q34" s="16" t="s">
        <v>66</v>
      </c>
      <c r="R34" s="16" t="s">
        <v>67</v>
      </c>
      <c r="S34" s="16" t="s">
        <v>68</v>
      </c>
      <c r="T34" s="16" t="s">
        <v>69</v>
      </c>
    </row>
    <row r="35" spans="7:20" ht="15.75" customHeight="1">
      <c r="G35" s="8">
        <v>1</v>
      </c>
      <c r="H35" s="21">
        <v>6</v>
      </c>
      <c r="I35" s="21"/>
      <c r="J35" s="21">
        <f t="shared" ref="J35:J49" si="24">H35/(1+B8)^G35</f>
        <v>5.7304928929971952</v>
      </c>
      <c r="K35" s="21">
        <f t="shared" ref="K35:K49" si="25">H35*M35</f>
        <v>5.7243506283130099</v>
      </c>
      <c r="L35" s="21"/>
      <c r="M35" s="22">
        <f t="shared" ref="M35:M49" si="26">EXP(-G35*B8)</f>
        <v>0.95405843805216828</v>
      </c>
      <c r="N35" s="22">
        <f t="shared" ref="N35:N49" si="27">M35*(1-EXP(-G35/$D$5))*$D$5/G35</f>
        <v>0.86470727292656746</v>
      </c>
      <c r="O35" s="22">
        <f t="shared" ref="O35:O49" si="28">M35*((1-EXP(-G35/$D$5))*$D$5/G35-EXP(-G35/$D$5))</f>
        <v>8.3590289459712586E-2</v>
      </c>
      <c r="P35" s="22">
        <f t="shared" ref="P35:P49" si="29">M35*((1-EXP(-G35/$F$5))*$F$5/G35-EXP(-G35/$F$5))</f>
        <v>0.28335256561897837</v>
      </c>
      <c r="Q35" s="15">
        <f t="shared" ref="Q35:Q49" si="30">-G35*H35*M35</f>
        <v>-5.7243506283130099</v>
      </c>
      <c r="R35" s="15">
        <f t="shared" ref="R35:R49" si="31">-G35*H35*N35</f>
        <v>-5.1882436375594043</v>
      </c>
      <c r="S35" s="15">
        <f t="shared" ref="S35:S49" si="32">-G35*H35*O35</f>
        <v>-0.50154173675827551</v>
      </c>
      <c r="T35" s="15">
        <f t="shared" ref="T35:T49" si="33">-G35*H35*P35</f>
        <v>-1.7001153937138702</v>
      </c>
    </row>
    <row r="36" spans="7:20" ht="15.75" customHeight="1">
      <c r="G36" s="8">
        <v>2</v>
      </c>
      <c r="H36" s="21">
        <v>6</v>
      </c>
      <c r="I36" s="21"/>
      <c r="J36" s="21">
        <f t="shared" si="24"/>
        <v>5.4701225126788575</v>
      </c>
      <c r="K36" s="21">
        <f t="shared" si="25"/>
        <v>5.4582627141626237</v>
      </c>
      <c r="L36" s="21"/>
      <c r="M36" s="22">
        <f t="shared" si="26"/>
        <v>0.90971045236043724</v>
      </c>
      <c r="N36" s="22">
        <f t="shared" si="27"/>
        <v>0.74978325013771663</v>
      </c>
      <c r="O36" s="22">
        <f t="shared" si="28"/>
        <v>0.13998609783236612</v>
      </c>
      <c r="P36" s="22">
        <f t="shared" si="29"/>
        <v>0.20660020291668332</v>
      </c>
      <c r="Q36" s="15">
        <f t="shared" si="30"/>
        <v>-10.916525428325247</v>
      </c>
      <c r="R36" s="15">
        <f t="shared" si="31"/>
        <v>-8.9973990016525995</v>
      </c>
      <c r="S36" s="15">
        <f t="shared" si="32"/>
        <v>-1.6798331739883934</v>
      </c>
      <c r="T36" s="15">
        <f t="shared" si="33"/>
        <v>-2.4792024350001998</v>
      </c>
    </row>
    <row r="37" spans="7:20" ht="15.75" customHeight="1">
      <c r="G37" s="8">
        <v>3</v>
      </c>
      <c r="H37" s="21">
        <v>6</v>
      </c>
      <c r="I37" s="21"/>
      <c r="J37" s="21">
        <f t="shared" si="24"/>
        <v>5.2188756937866208</v>
      </c>
      <c r="K37" s="21">
        <f t="shared" si="25"/>
        <v>5.2017173424257344</v>
      </c>
      <c r="L37" s="21"/>
      <c r="M37" s="22">
        <f t="shared" si="26"/>
        <v>0.86695289040428902</v>
      </c>
      <c r="N37" s="22">
        <f t="shared" si="27"/>
        <v>0.65193176034177669</v>
      </c>
      <c r="O37" s="22">
        <f t="shared" si="28"/>
        <v>0.17613792614255369</v>
      </c>
      <c r="P37" s="22">
        <f t="shared" si="29"/>
        <v>0.14198502680919856</v>
      </c>
      <c r="Q37" s="15">
        <f t="shared" si="30"/>
        <v>-15.605152027277203</v>
      </c>
      <c r="R37" s="15">
        <f t="shared" si="31"/>
        <v>-11.73477168615198</v>
      </c>
      <c r="S37" s="15">
        <f t="shared" si="32"/>
        <v>-3.1704826705659666</v>
      </c>
      <c r="T37" s="15">
        <f t="shared" si="33"/>
        <v>-2.5557304825655738</v>
      </c>
    </row>
    <row r="38" spans="7:20" ht="15.75" customHeight="1">
      <c r="G38" s="8">
        <v>4</v>
      </c>
      <c r="H38" s="21">
        <v>6</v>
      </c>
      <c r="I38" s="21"/>
      <c r="J38" s="21">
        <f t="shared" si="24"/>
        <v>4.973287154089908</v>
      </c>
      <c r="K38" s="21">
        <f t="shared" si="25"/>
        <v>4.9510934171036949</v>
      </c>
      <c r="L38" s="21"/>
      <c r="M38" s="22">
        <f t="shared" si="26"/>
        <v>0.82518223618394915</v>
      </c>
      <c r="N38" s="22">
        <f t="shared" si="27"/>
        <v>0.56800494598935347</v>
      </c>
      <c r="O38" s="22">
        <f t="shared" si="28"/>
        <v>0.19722666659688717</v>
      </c>
      <c r="P38" s="22">
        <f t="shared" si="29"/>
        <v>0.10283635949636381</v>
      </c>
      <c r="Q38" s="15">
        <f t="shared" si="30"/>
        <v>-19.80437366841478</v>
      </c>
      <c r="R38" s="15">
        <f t="shared" si="31"/>
        <v>-13.632118703744483</v>
      </c>
      <c r="S38" s="15">
        <f t="shared" si="32"/>
        <v>-4.7334399983252924</v>
      </c>
      <c r="T38" s="15">
        <f t="shared" si="33"/>
        <v>-2.4680726279127314</v>
      </c>
    </row>
    <row r="39" spans="7:20" ht="15.75" customHeight="1">
      <c r="G39" s="8">
        <v>5</v>
      </c>
      <c r="H39" s="21">
        <v>6</v>
      </c>
      <c r="J39" s="21">
        <f t="shared" si="24"/>
        <v>4.7334280119228858</v>
      </c>
      <c r="K39" s="21">
        <f t="shared" si="25"/>
        <v>4.7064675575802521</v>
      </c>
      <c r="M39" s="22">
        <f t="shared" si="26"/>
        <v>0.78441125959670865</v>
      </c>
      <c r="N39" s="22">
        <f t="shared" si="27"/>
        <v>0.49584248376768436</v>
      </c>
      <c r="O39" s="22">
        <f t="shared" si="28"/>
        <v>0.20727370793865993</v>
      </c>
      <c r="P39" s="22">
        <f t="shared" si="29"/>
        <v>7.8401952521971213E-2</v>
      </c>
      <c r="Q39" s="15">
        <f t="shared" si="30"/>
        <v>-23.532337787901259</v>
      </c>
      <c r="R39" s="15">
        <f t="shared" si="31"/>
        <v>-14.875274513030531</v>
      </c>
      <c r="S39" s="15">
        <f t="shared" si="32"/>
        <v>-6.2182112381597978</v>
      </c>
      <c r="T39" s="15">
        <f t="shared" si="33"/>
        <v>-2.3520585756591363</v>
      </c>
    </row>
    <row r="40" spans="7:20" ht="15.75" customHeight="1">
      <c r="G40" s="8">
        <v>6</v>
      </c>
      <c r="H40" s="21">
        <v>6</v>
      </c>
      <c r="J40" s="21">
        <f t="shared" si="24"/>
        <v>4.5001268002158543</v>
      </c>
      <c r="K40" s="21">
        <f t="shared" si="25"/>
        <v>4.468704966548624</v>
      </c>
      <c r="M40" s="22">
        <f t="shared" si="26"/>
        <v>0.7447841610914373</v>
      </c>
      <c r="N40" s="22">
        <f t="shared" si="27"/>
        <v>0.43371623553900934</v>
      </c>
      <c r="O40" s="22">
        <f t="shared" si="28"/>
        <v>0.20939155709438326</v>
      </c>
      <c r="P40" s="22">
        <f t="shared" si="29"/>
        <v>6.2060389302906374E-2</v>
      </c>
      <c r="Q40" s="15">
        <f t="shared" si="30"/>
        <v>-26.812229799291742</v>
      </c>
      <c r="R40" s="15">
        <f t="shared" si="31"/>
        <v>-15.613784479404336</v>
      </c>
      <c r="S40" s="15">
        <f t="shared" si="32"/>
        <v>-7.5380960553977969</v>
      </c>
      <c r="T40" s="15">
        <f t="shared" si="33"/>
        <v>-2.2341740149046294</v>
      </c>
    </row>
    <row r="41" spans="7:20" ht="15.75" customHeight="1">
      <c r="G41" s="8">
        <v>7</v>
      </c>
      <c r="H41" s="21">
        <v>6</v>
      </c>
      <c r="J41" s="21">
        <f t="shared" si="24"/>
        <v>4.2741586539023269</v>
      </c>
      <c r="K41" s="21">
        <f t="shared" si="25"/>
        <v>4.2386124216616814</v>
      </c>
      <c r="M41" s="22">
        <f t="shared" si="26"/>
        <v>0.70643540361028023</v>
      </c>
      <c r="N41" s="22">
        <f t="shared" si="27"/>
        <v>0.38016469847080125</v>
      </c>
      <c r="O41" s="22">
        <f t="shared" si="28"/>
        <v>0.20595987271964281</v>
      </c>
      <c r="P41" s="22">
        <f t="shared" si="29"/>
        <v>5.0459042306456127E-2</v>
      </c>
      <c r="Q41" s="15">
        <f t="shared" si="30"/>
        <v>-29.67028695163177</v>
      </c>
      <c r="R41" s="15">
        <f t="shared" si="31"/>
        <v>-15.966917335773653</v>
      </c>
      <c r="S41" s="15">
        <f t="shared" si="32"/>
        <v>-8.6503146542249976</v>
      </c>
      <c r="T41" s="15">
        <f t="shared" si="33"/>
        <v>-2.1192797768711573</v>
      </c>
    </row>
    <row r="42" spans="7:20" ht="15.75" customHeight="1">
      <c r="G42" s="8">
        <v>8</v>
      </c>
      <c r="H42" s="21">
        <v>6</v>
      </c>
      <c r="J42" s="21">
        <f t="shared" si="24"/>
        <v>4.056108336320583</v>
      </c>
      <c r="K42" s="21">
        <f t="shared" si="25"/>
        <v>4.016795653607689</v>
      </c>
      <c r="M42" s="22">
        <f t="shared" si="26"/>
        <v>0.66946594226794809</v>
      </c>
      <c r="N42" s="22">
        <f t="shared" si="27"/>
        <v>0.33393943725502406</v>
      </c>
      <c r="O42" s="22">
        <f t="shared" si="28"/>
        <v>0.19877659459511432</v>
      </c>
      <c r="P42" s="22">
        <f t="shared" si="29"/>
        <v>4.1841541344625796E-2</v>
      </c>
      <c r="Q42" s="15">
        <f t="shared" si="30"/>
        <v>-32.134365228861512</v>
      </c>
      <c r="R42" s="15">
        <f t="shared" si="31"/>
        <v>-16.029092988241153</v>
      </c>
      <c r="S42" s="15">
        <f t="shared" si="32"/>
        <v>-9.5412765405654874</v>
      </c>
      <c r="T42" s="15">
        <f t="shared" si="33"/>
        <v>-2.008393984542038</v>
      </c>
    </row>
    <row r="43" spans="7:20" ht="15.75" customHeight="1">
      <c r="G43" s="8">
        <v>9</v>
      </c>
      <c r="H43" s="21">
        <v>6</v>
      </c>
      <c r="J43" s="21">
        <f t="shared" si="24"/>
        <v>3.8463736514621747</v>
      </c>
      <c r="K43" s="21">
        <f t="shared" si="25"/>
        <v>3.8036633333523526</v>
      </c>
      <c r="M43" s="22">
        <f t="shared" si="26"/>
        <v>0.63394388889205877</v>
      </c>
      <c r="N43" s="22">
        <f t="shared" si="27"/>
        <v>0.29397426047962916</v>
      </c>
      <c r="O43" s="22">
        <f t="shared" si="28"/>
        <v>0.1891840404509029</v>
      </c>
      <c r="P43" s="22">
        <f t="shared" si="29"/>
        <v>3.5219094747108867E-2</v>
      </c>
      <c r="Q43" s="15">
        <f t="shared" si="30"/>
        <v>-34.232970000171171</v>
      </c>
      <c r="R43" s="15">
        <f t="shared" si="31"/>
        <v>-15.874610065899974</v>
      </c>
      <c r="S43" s="15">
        <f t="shared" si="32"/>
        <v>-10.215938184348756</v>
      </c>
      <c r="T43" s="15">
        <f t="shared" si="33"/>
        <v>-1.9018311163438788</v>
      </c>
    </row>
    <row r="44" spans="7:20" ht="15.75" customHeight="1">
      <c r="G44" s="8">
        <v>10</v>
      </c>
      <c r="H44" s="21">
        <v>6</v>
      </c>
      <c r="J44" s="21">
        <f t="shared" si="24"/>
        <v>3.6451919760886704</v>
      </c>
      <c r="K44" s="21">
        <f t="shared" si="25"/>
        <v>3.599455199518085</v>
      </c>
      <c r="M44" s="22">
        <f t="shared" si="26"/>
        <v>0.59990919991968084</v>
      </c>
      <c r="N44" s="22">
        <f t="shared" si="27"/>
        <v>0.25936015921615058</v>
      </c>
      <c r="O44" s="22">
        <f t="shared" si="28"/>
        <v>0.17817127772877084</v>
      </c>
      <c r="P44" s="22">
        <f t="shared" si="29"/>
        <v>2.9995458697653771E-2</v>
      </c>
      <c r="Q44" s="15">
        <f t="shared" si="30"/>
        <v>-35.994551995180849</v>
      </c>
      <c r="R44" s="15">
        <f t="shared" si="31"/>
        <v>-15.561609552969035</v>
      </c>
      <c r="S44" s="15">
        <f t="shared" si="32"/>
        <v>-10.69027666372625</v>
      </c>
      <c r="T44" s="15">
        <f t="shared" si="33"/>
        <v>-1.7997275218592264</v>
      </c>
    </row>
    <row r="45" spans="7:20" ht="15.75" customHeight="1">
      <c r="G45" s="8">
        <v>11</v>
      </c>
      <c r="H45" s="21">
        <v>6</v>
      </c>
      <c r="J45" s="21">
        <f t="shared" si="24"/>
        <v>3.4526680498793358</v>
      </c>
      <c r="K45" s="21">
        <f t="shared" si="25"/>
        <v>3.4042714907563418</v>
      </c>
      <c r="M45" s="22">
        <f t="shared" si="26"/>
        <v>0.5673785817927236</v>
      </c>
      <c r="N45" s="22">
        <f t="shared" si="27"/>
        <v>0.22932329224679454</v>
      </c>
      <c r="O45" s="22">
        <f t="shared" si="28"/>
        <v>0.16645595339701905</v>
      </c>
      <c r="P45" s="22">
        <f t="shared" si="29"/>
        <v>2.5789935370570425E-2</v>
      </c>
      <c r="Q45" s="15">
        <f t="shared" si="30"/>
        <v>-37.446986398319758</v>
      </c>
      <c r="R45" s="15">
        <f t="shared" si="31"/>
        <v>-15.13533728828844</v>
      </c>
      <c r="S45" s="15">
        <f t="shared" si="32"/>
        <v>-10.986092924203257</v>
      </c>
      <c r="T45" s="15">
        <f t="shared" si="33"/>
        <v>-1.702135734457648</v>
      </c>
    </row>
    <row r="46" spans="7:20" ht="15.75" customHeight="1">
      <c r="G46" s="8">
        <v>12</v>
      </c>
      <c r="H46" s="21">
        <v>6</v>
      </c>
      <c r="J46" s="21">
        <f t="shared" si="24"/>
        <v>3.2687991552774243</v>
      </c>
      <c r="K46" s="21">
        <f t="shared" si="25"/>
        <v>3.218099625576226</v>
      </c>
      <c r="M46" s="22">
        <f t="shared" si="26"/>
        <v>0.53634993759603766</v>
      </c>
      <c r="N46" s="22">
        <f t="shared" si="27"/>
        <v>0.20320557042100876</v>
      </c>
      <c r="O46" s="22">
        <f t="shared" si="28"/>
        <v>0.15454900183539211</v>
      </c>
      <c r="P46" s="22">
        <f t="shared" si="29"/>
        <v>2.2347914045409974E-2</v>
      </c>
      <c r="Q46" s="15">
        <f t="shared" si="30"/>
        <v>-38.617195506914712</v>
      </c>
      <c r="R46" s="15">
        <f t="shared" si="31"/>
        <v>-14.63080107031263</v>
      </c>
      <c r="S46" s="15">
        <f t="shared" si="32"/>
        <v>-11.127528132148232</v>
      </c>
      <c r="T46" s="15">
        <f t="shared" si="33"/>
        <v>-1.6090498112695182</v>
      </c>
    </row>
    <row r="47" spans="7:20" ht="15.75" customHeight="1">
      <c r="G47" s="8">
        <v>13</v>
      </c>
      <c r="H47" s="21">
        <v>6</v>
      </c>
      <c r="J47" s="21">
        <f t="shared" si="24"/>
        <v>3.0934970700986635</v>
      </c>
      <c r="K47" s="21">
        <f t="shared" si="25"/>
        <v>3.0408374696964411</v>
      </c>
      <c r="M47" s="22">
        <f t="shared" si="26"/>
        <v>0.50680624494940685</v>
      </c>
      <c r="N47" s="22">
        <f t="shared" si="27"/>
        <v>0.18044766602909396</v>
      </c>
      <c r="O47" s="22">
        <f t="shared" si="28"/>
        <v>0.14280535275533132</v>
      </c>
      <c r="P47" s="22">
        <f t="shared" si="29"/>
        <v>1.9492547879980587E-2</v>
      </c>
      <c r="Q47" s="15">
        <f t="shared" si="30"/>
        <v>-39.530887106053733</v>
      </c>
      <c r="R47" s="15">
        <f t="shared" si="31"/>
        <v>-14.074917950269329</v>
      </c>
      <c r="S47" s="15">
        <f t="shared" si="32"/>
        <v>-11.138817514915843</v>
      </c>
      <c r="T47" s="15">
        <f t="shared" si="33"/>
        <v>-1.5204187346384859</v>
      </c>
    </row>
    <row r="48" spans="7:20" ht="15.75" customHeight="1">
      <c r="G48" s="8">
        <v>14</v>
      </c>
      <c r="H48" s="21">
        <v>6</v>
      </c>
      <c r="J48" s="21">
        <f t="shared" si="24"/>
        <v>2.9266068380339165</v>
      </c>
      <c r="K48" s="21">
        <f t="shared" si="25"/>
        <v>2.8723132290213105</v>
      </c>
      <c r="M48" s="22">
        <f t="shared" si="26"/>
        <v>0.47871887150355175</v>
      </c>
      <c r="N48" s="22">
        <f t="shared" si="27"/>
        <v>0.16057426676698114</v>
      </c>
      <c r="O48" s="22">
        <f t="shared" si="28"/>
        <v>0.13146334221097647</v>
      </c>
      <c r="P48" s="22">
        <f t="shared" si="29"/>
        <v>1.7097102553355448E-2</v>
      </c>
      <c r="Q48" s="15">
        <f t="shared" si="30"/>
        <v>-40.21238520629835</v>
      </c>
      <c r="R48" s="15">
        <f t="shared" si="31"/>
        <v>-13.488238408426415</v>
      </c>
      <c r="S48" s="15">
        <f t="shared" si="32"/>
        <v>-11.042920745722023</v>
      </c>
      <c r="T48" s="15">
        <f t="shared" si="33"/>
        <v>-1.4361566144818576</v>
      </c>
    </row>
    <row r="49" spans="7:20" ht="15.75" customHeight="1">
      <c r="G49" s="8">
        <v>15</v>
      </c>
      <c r="H49" s="21">
        <v>106</v>
      </c>
      <c r="J49" s="21">
        <f t="shared" si="24"/>
        <v>48.899965718760548</v>
      </c>
      <c r="K49" s="21">
        <f t="shared" si="25"/>
        <v>47.917338980382922</v>
      </c>
      <c r="M49" s="22">
        <f t="shared" si="26"/>
        <v>0.45205036773946156</v>
      </c>
      <c r="N49" s="22">
        <f t="shared" si="27"/>
        <v>0.14318136839169965</v>
      </c>
      <c r="O49" s="22">
        <f t="shared" si="28"/>
        <v>0.12067510582733704</v>
      </c>
      <c r="P49" s="22">
        <f t="shared" si="29"/>
        <v>1.5068345591271671E-2</v>
      </c>
      <c r="Q49" s="15">
        <f t="shared" si="30"/>
        <v>-718.76008470574391</v>
      </c>
      <c r="R49" s="15">
        <f t="shared" si="31"/>
        <v>-227.65837574280243</v>
      </c>
      <c r="S49" s="15">
        <f t="shared" si="32"/>
        <v>-191.87341826546589</v>
      </c>
      <c r="T49" s="15">
        <f t="shared" si="33"/>
        <v>-23.958669490121956</v>
      </c>
    </row>
    <row r="50" spans="7:20" ht="15.75" customHeight="1"/>
    <row r="51" spans="7:20" ht="15.75" customHeight="1"/>
    <row r="52" spans="7:20" ht="15.75" customHeight="1">
      <c r="H52" s="16" t="s">
        <v>70</v>
      </c>
      <c r="I52" s="21"/>
      <c r="J52" s="21">
        <f t="shared" ref="J52:K52" si="34">SUM(J35:J49)</f>
        <v>108.08970251551497</v>
      </c>
      <c r="K52" s="21">
        <f t="shared" si="34"/>
        <v>106.62198402970699</v>
      </c>
      <c r="L52" s="21"/>
      <c r="M52" s="23"/>
      <c r="N52" s="16" t="s">
        <v>71</v>
      </c>
      <c r="Q52" s="15">
        <f t="shared" ref="Q52:T52" si="35">SUM(Q35:Q49)</f>
        <v>-1108.9946824386989</v>
      </c>
      <c r="R52" s="15">
        <f t="shared" si="35"/>
        <v>-418.46149242452645</v>
      </c>
      <c r="S52" s="15">
        <f t="shared" si="35"/>
        <v>-299.10818849851626</v>
      </c>
      <c r="T52" s="15">
        <f t="shared" si="35"/>
        <v>-51.845016314341905</v>
      </c>
    </row>
    <row r="53" spans="7:20" ht="15.75" customHeight="1">
      <c r="H53" s="21"/>
      <c r="I53" s="21"/>
      <c r="J53" s="21"/>
      <c r="K53" s="21"/>
      <c r="L53" s="21"/>
      <c r="M53" s="23"/>
    </row>
    <row r="54" spans="7:20" ht="15.75" customHeight="1">
      <c r="H54" s="21"/>
      <c r="I54" s="21"/>
      <c r="J54" s="16" t="s">
        <v>72</v>
      </c>
      <c r="K54" s="8"/>
      <c r="L54" s="21">
        <v>19.88</v>
      </c>
      <c r="M54" s="23"/>
    </row>
    <row r="55" spans="7:20" ht="15.75" customHeight="1"/>
    <row r="56" spans="7:20" ht="15.75" customHeight="1"/>
    <row r="57" spans="7:20" ht="15.75" customHeight="1">
      <c r="G57" s="16" t="s">
        <v>75</v>
      </c>
      <c r="H57" s="16" t="s">
        <v>55</v>
      </c>
      <c r="I57" s="16" t="s">
        <v>73</v>
      </c>
      <c r="J57" s="16" t="s">
        <v>74</v>
      </c>
      <c r="K57" s="19"/>
      <c r="L57" s="16" t="s">
        <v>70</v>
      </c>
      <c r="M57" s="16" t="s">
        <v>76</v>
      </c>
      <c r="N57" s="16" t="s">
        <v>77</v>
      </c>
      <c r="O57" s="16" t="s">
        <v>78</v>
      </c>
      <c r="P57" s="19" t="s">
        <v>79</v>
      </c>
    </row>
    <row r="58" spans="7:20" ht="15.75" customHeight="1">
      <c r="G58" s="15" t="s">
        <v>80</v>
      </c>
      <c r="H58" s="15">
        <v>100</v>
      </c>
      <c r="I58" s="15">
        <v>200</v>
      </c>
      <c r="J58" s="15">
        <v>100</v>
      </c>
      <c r="L58" s="15">
        <f>H58*$K$12 + I58*$K$28 + J58*$K$52</f>
        <v>40344.258932845223</v>
      </c>
      <c r="M58" s="15">
        <f>H58*$Q$12 + I58*$Q$28 + J58*$Q$52</f>
        <v>-259969.62271555801</v>
      </c>
      <c r="N58" s="15">
        <f>H58*$R$12 + I58*$R$28 + J58*$R$52</f>
        <v>-130689.93901986189</v>
      </c>
      <c r="O58" s="15">
        <f>H58*$S$12 + I58*$S$28 + J58*$S$52</f>
        <v>-69801.449241535825</v>
      </c>
      <c r="P58" s="15">
        <f>H58*$T$12 + I58*$T$28 + J58*$T$52</f>
        <v>-19608.760463803861</v>
      </c>
    </row>
    <row r="59" spans="7:20" ht="15.75" customHeight="1"/>
    <row r="60" spans="7:20" ht="15.75" customHeight="1"/>
    <row r="61" spans="7:20" ht="15.75" customHeight="1"/>
    <row r="62" spans="7:20" ht="15.75" customHeight="1"/>
    <row r="63" spans="7:20" ht="15.75" customHeight="1"/>
    <row r="64" spans="7:20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T1000"/>
  <sheetViews>
    <sheetView topLeftCell="A32" workbookViewId="0">
      <selection activeCell="B8" sqref="B8"/>
    </sheetView>
  </sheetViews>
  <sheetFormatPr baseColWidth="10" defaultColWidth="11.1640625" defaultRowHeight="15" customHeight="1"/>
  <cols>
    <col min="1" max="7" width="10.5" customWidth="1"/>
    <col min="8" max="8" width="16.5" customWidth="1"/>
    <col min="9" max="26" width="10.5" customWidth="1"/>
  </cols>
  <sheetData>
    <row r="1" spans="1:20" ht="15.75" customHeight="1">
      <c r="A1" s="15" t="s">
        <v>81</v>
      </c>
    </row>
    <row r="2" spans="1:20" ht="15.75" customHeight="1"/>
    <row r="3" spans="1:20" ht="15.75" customHeight="1"/>
    <row r="4" spans="1:20" ht="15.75" customHeight="1">
      <c r="A4" s="16" t="s">
        <v>49</v>
      </c>
      <c r="B4" s="16" t="s">
        <v>50</v>
      </c>
      <c r="C4" s="16" t="s">
        <v>51</v>
      </c>
      <c r="D4" s="16" t="s">
        <v>52</v>
      </c>
      <c r="E4" s="16" t="s">
        <v>53</v>
      </c>
      <c r="F4" s="16" t="s">
        <v>54</v>
      </c>
      <c r="G4" s="8"/>
      <c r="H4" s="8"/>
      <c r="I4" s="8"/>
      <c r="J4" s="8"/>
      <c r="K4" s="8"/>
      <c r="L4" s="8"/>
      <c r="M4" s="8"/>
    </row>
    <row r="5" spans="1:20" ht="15.75" customHeight="1">
      <c r="A5" s="21">
        <v>5.5E-2</v>
      </c>
      <c r="B5" s="21">
        <v>-0.01</v>
      </c>
      <c r="C5" s="20">
        <v>1E-3</v>
      </c>
      <c r="D5" s="21">
        <v>5</v>
      </c>
      <c r="E5" s="8">
        <v>0.02</v>
      </c>
      <c r="F5" s="8">
        <v>0.5</v>
      </c>
      <c r="G5" s="8"/>
      <c r="H5" s="8"/>
      <c r="I5" s="8"/>
      <c r="J5" s="8"/>
      <c r="K5" s="8"/>
      <c r="L5" s="8"/>
      <c r="M5" s="8"/>
    </row>
    <row r="6" spans="1:20" ht="15.75" customHeight="1">
      <c r="A6" s="8"/>
      <c r="B6" s="8"/>
      <c r="C6" s="8"/>
      <c r="D6" s="8"/>
      <c r="E6" s="8"/>
      <c r="F6" s="8"/>
      <c r="G6" s="18" t="s">
        <v>55</v>
      </c>
      <c r="H6" s="8"/>
      <c r="I6" s="8"/>
      <c r="J6" s="8"/>
      <c r="K6" s="8"/>
      <c r="L6" s="8"/>
      <c r="M6" s="8"/>
    </row>
    <row r="7" spans="1:20" ht="15.75" customHeight="1">
      <c r="A7" s="16" t="s">
        <v>56</v>
      </c>
      <c r="B7" s="16" t="s">
        <v>57</v>
      </c>
      <c r="C7" s="8"/>
      <c r="D7" s="8"/>
      <c r="E7" s="8"/>
      <c r="F7" s="8"/>
      <c r="G7" s="16" t="s">
        <v>56</v>
      </c>
      <c r="H7" s="16" t="s">
        <v>58</v>
      </c>
      <c r="I7" s="16" t="s">
        <v>59</v>
      </c>
      <c r="J7" s="16" t="s">
        <v>57</v>
      </c>
      <c r="K7" s="19" t="s">
        <v>60</v>
      </c>
      <c r="L7" s="16" t="s">
        <v>61</v>
      </c>
      <c r="M7" s="16" t="s">
        <v>62</v>
      </c>
      <c r="N7" s="16" t="s">
        <v>63</v>
      </c>
      <c r="O7" s="16" t="s">
        <v>64</v>
      </c>
      <c r="P7" s="16" t="s">
        <v>65</v>
      </c>
      <c r="Q7" s="16" t="s">
        <v>66</v>
      </c>
      <c r="R7" s="16" t="s">
        <v>67</v>
      </c>
      <c r="S7" s="16" t="s">
        <v>68</v>
      </c>
      <c r="T7" s="16" t="s">
        <v>69</v>
      </c>
    </row>
    <row r="8" spans="1:20" ht="15.75" customHeight="1">
      <c r="A8" s="8">
        <v>1</v>
      </c>
      <c r="B8" s="20">
        <f t="array" ref="B8">NelsonSiegelAugmentedSpotRate($A$5,$B$5,$C$5,$D$5,$E$5,$F$5,A8)</f>
        <v>5.1964094638332819E-2</v>
      </c>
      <c r="C8" s="8"/>
      <c r="D8" s="8"/>
      <c r="E8" s="8"/>
      <c r="F8" s="8"/>
      <c r="G8" s="8">
        <v>1</v>
      </c>
      <c r="H8" s="21">
        <v>4</v>
      </c>
      <c r="I8" s="21"/>
      <c r="J8" s="21">
        <f t="shared" ref="J8:J10" si="0">H8/(1+B8)^G8</f>
        <v>3.802411147288451</v>
      </c>
      <c r="K8" s="21">
        <f t="shared" ref="K8:K10" si="1">H8*M8</f>
        <v>3.7974518138045479</v>
      </c>
      <c r="L8" s="21"/>
      <c r="M8" s="22">
        <f t="shared" ref="M8:M10" si="2">EXP(-G8*B8)</f>
        <v>0.94936295345113697</v>
      </c>
      <c r="N8" s="22">
        <f t="shared" ref="N8:N10" si="3">M8*(1-EXP(-G8/$D$5))*$D$5/G8</f>
        <v>0.86045153813875297</v>
      </c>
      <c r="O8" s="22">
        <f t="shared" ref="O8:O10" si="4">M8*((1-EXP(-G8/$D$5))*$D$5/G8-EXP(-G8/$D$5))</f>
        <v>8.3178892315366612E-2</v>
      </c>
      <c r="P8" s="22">
        <f t="shared" ref="P8:P10" si="5">M8*((1-EXP(-G8/$F$5))*$F$5/G8-EXP(-G8/$F$5))</f>
        <v>0.28195802042608331</v>
      </c>
      <c r="Q8" s="15">
        <f t="shared" ref="Q8:Q10" si="6">-G8*H8*M8</f>
        <v>-3.7974518138045479</v>
      </c>
      <c r="R8" s="15">
        <f t="shared" ref="R8:R10" si="7">-G8*H8*N8</f>
        <v>-3.4418061525550119</v>
      </c>
      <c r="S8" s="15">
        <f t="shared" ref="S8:S10" si="8">-G8*H8*O8</f>
        <v>-0.33271556926146645</v>
      </c>
      <c r="T8" s="15">
        <f t="shared" ref="T8:T10" si="9">-G8*H8*P8</f>
        <v>-1.1278320817043332</v>
      </c>
    </row>
    <row r="9" spans="1:20" ht="15.75" customHeight="1">
      <c r="A9" s="8">
        <v>2</v>
      </c>
      <c r="B9" s="20">
        <f t="array" ref="B9">NelsonSiegelAugmentedSpotRate($A$5,$B$5,$C$5,$D$5,$E$5,$F$5,A9)</f>
        <v>5.1453990017547899E-2</v>
      </c>
      <c r="C9" s="8"/>
      <c r="D9" s="8"/>
      <c r="E9" s="8"/>
      <c r="F9" s="8"/>
      <c r="G9" s="8">
        <v>2</v>
      </c>
      <c r="H9" s="21">
        <v>4</v>
      </c>
      <c r="I9" s="21"/>
      <c r="J9" s="21">
        <f t="shared" si="0"/>
        <v>3.6180906565781963</v>
      </c>
      <c r="K9" s="21">
        <f t="shared" si="1"/>
        <v>3.6088399639741242</v>
      </c>
      <c r="L9" s="21"/>
      <c r="M9" s="22">
        <f t="shared" si="2"/>
        <v>0.90220999099353105</v>
      </c>
      <c r="N9" s="22">
        <f t="shared" si="3"/>
        <v>0.7436013707423339</v>
      </c>
      <c r="O9" s="22">
        <f t="shared" si="4"/>
        <v>0.13883192804573646</v>
      </c>
      <c r="P9" s="22">
        <f t="shared" si="5"/>
        <v>0.20489680725232573</v>
      </c>
      <c r="Q9" s="15">
        <f t="shared" si="6"/>
        <v>-7.2176799279482484</v>
      </c>
      <c r="R9" s="15">
        <f t="shared" si="7"/>
        <v>-5.9488109659386712</v>
      </c>
      <c r="S9" s="15">
        <f t="shared" si="8"/>
        <v>-1.1106554243658917</v>
      </c>
      <c r="T9" s="15">
        <f t="shared" si="9"/>
        <v>-1.6391744580186058</v>
      </c>
    </row>
    <row r="10" spans="1:20" ht="15.75" customHeight="1">
      <c r="A10" s="8">
        <v>3</v>
      </c>
      <c r="B10" s="20">
        <f t="array" ref="B10">NelsonSiegelAugmentedSpotRate($A$5,$B$5,$C$5,$D$5,$E$5,$F$5,A10)</f>
        <v>5.095885868786082E-2</v>
      </c>
      <c r="C10" s="8"/>
      <c r="D10" s="8"/>
      <c r="E10" s="8"/>
      <c r="F10" s="8"/>
      <c r="G10" s="8">
        <v>3</v>
      </c>
      <c r="H10" s="21">
        <v>104</v>
      </c>
      <c r="I10" s="21"/>
      <c r="J10" s="21">
        <f t="shared" si="0"/>
        <v>89.593436192644759</v>
      </c>
      <c r="K10" s="21">
        <f t="shared" si="1"/>
        <v>89.256506777987269</v>
      </c>
      <c r="L10" s="21"/>
      <c r="M10" s="22">
        <f t="shared" si="2"/>
        <v>0.85823564209603143</v>
      </c>
      <c r="N10" s="22">
        <f t="shared" si="3"/>
        <v>0.6453765586718353</v>
      </c>
      <c r="O10" s="22">
        <f t="shared" si="4"/>
        <v>0.17436685177890499</v>
      </c>
      <c r="P10" s="22">
        <f t="shared" si="5"/>
        <v>0.14055736130574403</v>
      </c>
      <c r="Q10" s="15">
        <f t="shared" si="6"/>
        <v>-267.76952033396179</v>
      </c>
      <c r="R10" s="15">
        <f t="shared" si="7"/>
        <v>-201.35748630561261</v>
      </c>
      <c r="S10" s="15">
        <f t="shared" si="8"/>
        <v>-54.402457755018354</v>
      </c>
      <c r="T10" s="15">
        <f t="shared" si="9"/>
        <v>-43.85389672739214</v>
      </c>
    </row>
    <row r="11" spans="1:20" ht="15.75" customHeight="1">
      <c r="A11" s="8">
        <v>4</v>
      </c>
      <c r="B11" s="20">
        <f t="array" ref="B11">NelsonSiegelAugmentedSpotRate($A$5,$B$5,$C$5,$D$5,$E$5,$F$5,A11)</f>
        <v>5.0848073973073712E-2</v>
      </c>
      <c r="C11" s="8"/>
      <c r="D11" s="8"/>
      <c r="E11" s="8"/>
      <c r="F11" s="8"/>
      <c r="G11" s="8"/>
      <c r="H11" s="21"/>
      <c r="I11" s="21"/>
      <c r="J11" s="21"/>
      <c r="K11" s="21"/>
      <c r="L11" s="21"/>
      <c r="M11" s="23"/>
    </row>
    <row r="12" spans="1:20" ht="15.75" customHeight="1">
      <c r="A12" s="8">
        <v>5</v>
      </c>
      <c r="B12" s="20">
        <f t="array" ref="B12">NelsonSiegelAugmentedSpotRate($A$5,$B$5,$C$5,$D$5,$E$5,$F$5,A12)</f>
        <v>5.0942036730916768E-2</v>
      </c>
      <c r="C12" s="8"/>
      <c r="D12" s="8"/>
      <c r="E12" s="8"/>
      <c r="F12" s="8"/>
      <c r="G12" s="8"/>
      <c r="H12" s="16" t="s">
        <v>70</v>
      </c>
      <c r="I12" s="21"/>
      <c r="J12" s="21">
        <f t="shared" ref="J12:K12" si="10">SUM(J8:J10)</f>
        <v>97.013937996511402</v>
      </c>
      <c r="K12" s="24">
        <f t="shared" si="10"/>
        <v>96.662798555765946</v>
      </c>
      <c r="L12" s="21"/>
      <c r="M12" s="23"/>
      <c r="N12" s="16" t="s">
        <v>71</v>
      </c>
      <c r="Q12" s="15">
        <f t="shared" ref="Q12:T12" si="11">SUM(Q8:Q10)</f>
        <v>-278.78465207571458</v>
      </c>
      <c r="R12" s="15">
        <f t="shared" si="11"/>
        <v>-210.74810342410629</v>
      </c>
      <c r="S12" s="15">
        <f t="shared" si="11"/>
        <v>-55.845828748645715</v>
      </c>
      <c r="T12" s="15">
        <f t="shared" si="11"/>
        <v>-46.620903267115082</v>
      </c>
    </row>
    <row r="13" spans="1:20" ht="15.75" customHeight="1">
      <c r="A13" s="8">
        <v>6</v>
      </c>
      <c r="B13" s="20">
        <f t="array" ref="B13">NelsonSiegelAugmentedSpotRate($A$5,$B$5,$C$5,$D$5,$E$5,$F$5,A13)</f>
        <v>5.1124295919494987E-2</v>
      </c>
      <c r="C13" s="8"/>
      <c r="D13" s="8"/>
      <c r="E13" s="8"/>
      <c r="F13" s="8"/>
      <c r="G13" s="8"/>
      <c r="H13" s="21"/>
      <c r="I13" s="21"/>
      <c r="J13" s="21"/>
      <c r="K13" s="21"/>
      <c r="L13" s="21"/>
      <c r="M13" s="23"/>
    </row>
    <row r="14" spans="1:20" ht="15.75" customHeight="1">
      <c r="A14" s="8">
        <v>7</v>
      </c>
      <c r="B14" s="20">
        <f t="array" ref="B14">NelsonSiegelAugmentedSpotRate($A$5,$B$5,$C$5,$D$5,$E$5,$F$5,A14)</f>
        <v>5.1338651414353308E-2</v>
      </c>
      <c r="C14" s="8"/>
      <c r="D14" s="8"/>
      <c r="E14" s="8"/>
      <c r="F14" s="8"/>
      <c r="G14" s="8"/>
      <c r="H14" s="21"/>
      <c r="I14" s="21"/>
      <c r="J14" s="16" t="s">
        <v>72</v>
      </c>
      <c r="K14" s="8"/>
      <c r="L14" s="21">
        <v>19.88</v>
      </c>
      <c r="M14" s="23"/>
    </row>
    <row r="15" spans="1:20" ht="15.75" customHeight="1">
      <c r="A15" s="8">
        <v>8</v>
      </c>
      <c r="B15" s="20">
        <f t="array" ref="B15">NelsonSiegelAugmentedSpotRate($A$5,$B$5,$C$5,$D$5,$E$5,$F$5,A15)</f>
        <v>5.1558769004352821E-2</v>
      </c>
      <c r="C15" s="8"/>
      <c r="D15" s="8"/>
      <c r="E15" s="8"/>
      <c r="F15" s="8"/>
      <c r="G15" s="8"/>
      <c r="H15" s="21"/>
      <c r="I15" s="21"/>
      <c r="J15" s="21"/>
      <c r="K15" s="21"/>
      <c r="L15" s="21"/>
      <c r="M15" s="23"/>
    </row>
    <row r="16" spans="1:20" ht="15.75" customHeight="1">
      <c r="A16" s="8">
        <v>9</v>
      </c>
      <c r="B16" s="20">
        <f t="array" ref="B16">NelsonSiegelAugmentedSpotRate($A$5,$B$5,$C$5,$D$5,$E$5,$F$5,A16)</f>
        <v>5.1772306342475663E-2</v>
      </c>
      <c r="C16" s="8"/>
      <c r="D16" s="8"/>
      <c r="E16" s="8"/>
      <c r="F16" s="8"/>
      <c r="G16" s="8"/>
      <c r="H16" s="21"/>
      <c r="I16" s="21"/>
      <c r="J16" s="21"/>
      <c r="K16" s="21"/>
      <c r="L16" s="21"/>
      <c r="M16" s="23"/>
    </row>
    <row r="17" spans="1:20" ht="15.75" customHeight="1">
      <c r="A17" s="8">
        <v>10</v>
      </c>
      <c r="B17" s="20">
        <f t="array" ref="B17">NelsonSiegelAugmentedSpotRate($A$5,$B$5,$C$5,$D$5,$E$5,$F$5,A17)</f>
        <v>5.1973673448043919E-2</v>
      </c>
      <c r="C17" s="8"/>
      <c r="D17" s="8"/>
      <c r="E17" s="8"/>
      <c r="F17" s="8"/>
      <c r="G17" s="8"/>
      <c r="H17" s="21"/>
      <c r="I17" s="21"/>
      <c r="J17" s="21"/>
      <c r="K17" s="21"/>
      <c r="L17" s="21"/>
      <c r="M17" s="23"/>
    </row>
    <row r="18" spans="1:20" ht="15.75" customHeight="1">
      <c r="A18" s="8">
        <v>11</v>
      </c>
      <c r="B18" s="20">
        <f t="array" ref="B18">NelsonSiegelAugmentedSpotRate($A$5,$B$5,$C$5,$D$5,$E$5,$F$5,A18)</f>
        <v>5.2160664301832874E-2</v>
      </c>
      <c r="C18" s="8" t="e">
        <v>#VALUE!</v>
      </c>
      <c r="D18" s="8"/>
      <c r="E18" s="8"/>
      <c r="F18" s="8"/>
      <c r="G18" s="18" t="s">
        <v>73</v>
      </c>
      <c r="H18" s="8"/>
      <c r="I18" s="8"/>
      <c r="J18" s="8"/>
      <c r="K18" s="8"/>
      <c r="L18" s="8"/>
      <c r="M18" s="8"/>
    </row>
    <row r="19" spans="1:20" ht="15.75" customHeight="1">
      <c r="A19" s="8">
        <v>12</v>
      </c>
      <c r="B19" s="20">
        <f t="array" ref="B19">NelsonSiegelAugmentedSpotRate($A$5,$B$5,$C$5,$D$5,$E$5,$F$5,A19)</f>
        <v>5.2332807704092731E-2</v>
      </c>
      <c r="C19" s="8"/>
      <c r="D19" s="8"/>
      <c r="E19" s="8"/>
      <c r="F19" s="8"/>
      <c r="G19" s="16" t="s">
        <v>56</v>
      </c>
      <c r="H19" s="16" t="s">
        <v>58</v>
      </c>
      <c r="I19" s="16" t="s">
        <v>59</v>
      </c>
      <c r="J19" s="16" t="s">
        <v>57</v>
      </c>
      <c r="K19" s="19" t="s">
        <v>60</v>
      </c>
      <c r="L19" s="16" t="s">
        <v>61</v>
      </c>
      <c r="M19" s="16" t="s">
        <v>62</v>
      </c>
      <c r="N19" s="16" t="s">
        <v>63</v>
      </c>
      <c r="O19" s="16" t="s">
        <v>64</v>
      </c>
      <c r="P19" s="16" t="s">
        <v>65</v>
      </c>
      <c r="Q19" s="16" t="s">
        <v>66</v>
      </c>
      <c r="R19" s="16" t="s">
        <v>67</v>
      </c>
      <c r="S19" s="16" t="s">
        <v>68</v>
      </c>
      <c r="T19" s="16" t="s">
        <v>69</v>
      </c>
    </row>
    <row r="20" spans="1:20" ht="15.75" customHeight="1">
      <c r="A20" s="8">
        <v>13</v>
      </c>
      <c r="B20" s="20">
        <f t="array" ref="B20">NelsonSiegelAugmentedSpotRate($A$5,$B$5,$C$5,$D$5,$E$5,$F$5,A20)</f>
        <v>5.2490519577036862E-2</v>
      </c>
      <c r="C20" s="8"/>
      <c r="D20" s="8"/>
      <c r="E20" s="8"/>
      <c r="F20" s="8"/>
      <c r="G20" s="8">
        <v>1</v>
      </c>
      <c r="H20" s="21">
        <v>5</v>
      </c>
      <c r="I20" s="21"/>
      <c r="J20" s="21">
        <f t="shared" ref="J20:J26" si="12">H20/(1+B20)^G20</f>
        <v>4.7506366157192028</v>
      </c>
      <c r="K20" s="21">
        <f t="shared" ref="K20:K26" si="13">H20*M20</f>
        <v>4.7468147672556853</v>
      </c>
      <c r="L20" s="21"/>
      <c r="M20" s="22">
        <f t="shared" ref="M20:M26" si="14">EXP(-G20*B8)</f>
        <v>0.94936295345113697</v>
      </c>
      <c r="N20" s="22">
        <f t="shared" ref="N20:N26" si="15">M20*(1-EXP(-G20/$D$5))*$D$5/G20</f>
        <v>0.86045153813875297</v>
      </c>
      <c r="O20" s="22">
        <f t="shared" ref="O20:O26" si="16">M20*((1-EXP(-G20/$D$5))*$D$5/G20-EXP(-G20/$D$5))</f>
        <v>8.3178892315366612E-2</v>
      </c>
      <c r="P20" s="22">
        <f t="shared" ref="P20:P26" si="17">M20*((1-EXP(-G20/$F$5))*$F$5/G20-EXP(-G20/$F$5))</f>
        <v>0.28195802042608331</v>
      </c>
      <c r="Q20" s="15">
        <f t="shared" ref="Q20:Q26" si="18">-G20*H20*M20</f>
        <v>-4.7468147672556853</v>
      </c>
      <c r="R20" s="15">
        <f t="shared" ref="R20:R26" si="19">-G20*H20*N20</f>
        <v>-4.3022576906937644</v>
      </c>
      <c r="S20" s="15">
        <f t="shared" ref="S20:S26" si="20">-G20*H20*O20</f>
        <v>-0.41589446157683307</v>
      </c>
      <c r="T20" s="15">
        <f t="shared" ref="T20:T26" si="21">-G20*H20*P20</f>
        <v>-1.4097901021304167</v>
      </c>
    </row>
    <row r="21" spans="1:20" ht="15.75" customHeight="1">
      <c r="A21" s="8">
        <v>14</v>
      </c>
      <c r="B21" s="20">
        <f t="array" ref="B21">NelsonSiegelAugmentedSpotRate($A$5,$B$5,$C$5,$D$5,$E$5,$F$5,A21)</f>
        <v>5.2634650852941521E-2</v>
      </c>
      <c r="C21" s="8"/>
      <c r="D21" s="8"/>
      <c r="E21" s="8"/>
      <c r="F21" s="8"/>
      <c r="G21" s="8">
        <v>2</v>
      </c>
      <c r="H21" s="21">
        <v>5</v>
      </c>
      <c r="I21" s="21"/>
      <c r="J21" s="21">
        <f t="shared" si="12"/>
        <v>4.5124736623648838</v>
      </c>
      <c r="K21" s="21">
        <f t="shared" si="13"/>
        <v>4.511049954967655</v>
      </c>
      <c r="L21" s="21"/>
      <c r="M21" s="22">
        <f t="shared" si="14"/>
        <v>0.90220999099353105</v>
      </c>
      <c r="N21" s="22">
        <f t="shared" si="15"/>
        <v>0.7436013707423339</v>
      </c>
      <c r="O21" s="22">
        <f t="shared" si="16"/>
        <v>0.13883192804573646</v>
      </c>
      <c r="P21" s="22">
        <f t="shared" si="17"/>
        <v>0.20489680725232573</v>
      </c>
      <c r="Q21" s="15">
        <f t="shared" si="18"/>
        <v>-9.0220999099353101</v>
      </c>
      <c r="R21" s="15">
        <f t="shared" si="19"/>
        <v>-7.4360137074233386</v>
      </c>
      <c r="S21" s="15">
        <f t="shared" si="20"/>
        <v>-1.3883192804573645</v>
      </c>
      <c r="T21" s="15">
        <f t="shared" si="21"/>
        <v>-2.0489680725232571</v>
      </c>
    </row>
    <row r="22" spans="1:20" ht="15.75" customHeight="1">
      <c r="A22" s="8">
        <v>15</v>
      </c>
      <c r="B22" s="20">
        <f t="array" ref="B22">NelsonSiegelAugmentedSpotRate($A$5,$B$5,$C$5,$D$5,$E$5,$F$5,A22)</f>
        <v>5.2766240803400463E-2</v>
      </c>
      <c r="C22" s="8"/>
      <c r="D22" s="8"/>
      <c r="E22" s="8"/>
      <c r="F22" s="8"/>
      <c r="G22" s="8">
        <v>3</v>
      </c>
      <c r="H22" s="21">
        <v>5</v>
      </c>
      <c r="I22" s="21"/>
      <c r="J22" s="21">
        <f t="shared" si="12"/>
        <v>4.2852301770076675</v>
      </c>
      <c r="K22" s="21">
        <f t="shared" si="13"/>
        <v>4.2911782104801572</v>
      </c>
      <c r="L22" s="21"/>
      <c r="M22" s="22">
        <f t="shared" si="14"/>
        <v>0.85823564209603143</v>
      </c>
      <c r="N22" s="22">
        <f t="shared" si="15"/>
        <v>0.6453765586718353</v>
      </c>
      <c r="O22" s="22">
        <f t="shared" si="16"/>
        <v>0.17436685177890499</v>
      </c>
      <c r="P22" s="22">
        <f t="shared" si="17"/>
        <v>0.14055736130574403</v>
      </c>
      <c r="Q22" s="15">
        <f t="shared" si="18"/>
        <v>-12.873534631440471</v>
      </c>
      <c r="R22" s="15">
        <f t="shared" si="19"/>
        <v>-9.68064838007753</v>
      </c>
      <c r="S22" s="15">
        <f t="shared" si="20"/>
        <v>-2.6155027766835746</v>
      </c>
      <c r="T22" s="15">
        <f t="shared" si="21"/>
        <v>-2.1083604195861607</v>
      </c>
    </row>
    <row r="23" spans="1:20" ht="15.75" customHeight="1">
      <c r="A23" s="8">
        <v>16</v>
      </c>
      <c r="B23" s="20">
        <f t="array" ref="B23">NelsonSiegelAugmentedSpotRate($A$5,$B$5,$C$5,$D$5,$E$5,$F$5,A23)</f>
        <v>5.2886381494710526E-2</v>
      </c>
      <c r="C23" s="8"/>
      <c r="D23" s="8"/>
      <c r="E23" s="8"/>
      <c r="F23" s="8"/>
      <c r="G23" s="8">
        <v>4</v>
      </c>
      <c r="H23" s="21">
        <v>5</v>
      </c>
      <c r="I23" s="21"/>
      <c r="J23" s="21">
        <f t="shared" si="12"/>
        <v>4.0685904080337663</v>
      </c>
      <c r="K23" s="21">
        <f t="shared" si="13"/>
        <v>4.079790408136609</v>
      </c>
      <c r="L23" s="21"/>
      <c r="M23" s="22">
        <f t="shared" si="14"/>
        <v>0.81595808162732186</v>
      </c>
      <c r="N23" s="22">
        <f t="shared" si="15"/>
        <v>0.56165560255830249</v>
      </c>
      <c r="O23" s="22">
        <f t="shared" si="16"/>
        <v>0.19502200297762268</v>
      </c>
      <c r="P23" s="22">
        <f t="shared" si="17"/>
        <v>0.10168682133080412</v>
      </c>
      <c r="Q23" s="15">
        <f t="shared" si="18"/>
        <v>-16.319161632546436</v>
      </c>
      <c r="R23" s="15">
        <f t="shared" si="19"/>
        <v>-11.233112051166049</v>
      </c>
      <c r="S23" s="15">
        <f t="shared" si="20"/>
        <v>-3.9004400595524533</v>
      </c>
      <c r="T23" s="15">
        <f t="shared" si="21"/>
        <v>-2.0337364266160822</v>
      </c>
    </row>
    <row r="24" spans="1:20" ht="15.75" customHeight="1">
      <c r="A24" s="8">
        <v>17</v>
      </c>
      <c r="B24" s="20">
        <f t="array" ref="B24">NelsonSiegelAugmentedSpotRate($A$5,$B$5,$C$5,$D$5,$E$5,$F$5,A24)</f>
        <v>5.2996144209346389E-2</v>
      </c>
      <c r="C24" s="8"/>
      <c r="D24" s="8"/>
      <c r="E24" s="8"/>
      <c r="F24" s="8"/>
      <c r="G24" s="8">
        <v>5</v>
      </c>
      <c r="H24" s="21">
        <v>5</v>
      </c>
      <c r="J24" s="21">
        <f t="shared" si="12"/>
        <v>3.862211918773526</v>
      </c>
      <c r="K24" s="21">
        <f t="shared" si="13"/>
        <v>3.8757055698782334</v>
      </c>
      <c r="M24" s="22">
        <f t="shared" si="14"/>
        <v>0.77514111397564667</v>
      </c>
      <c r="N24" s="22">
        <f t="shared" si="15"/>
        <v>0.4899826341372765</v>
      </c>
      <c r="O24" s="22">
        <f t="shared" si="16"/>
        <v>0.2048241542989063</v>
      </c>
      <c r="P24" s="22">
        <f t="shared" si="17"/>
        <v>7.7475400910221107E-2</v>
      </c>
      <c r="Q24" s="15">
        <f t="shared" si="18"/>
        <v>-19.378527849391165</v>
      </c>
      <c r="R24" s="15">
        <f t="shared" si="19"/>
        <v>-12.249565853431912</v>
      </c>
      <c r="S24" s="15">
        <f t="shared" si="20"/>
        <v>-5.1206038574726573</v>
      </c>
      <c r="T24" s="15">
        <f t="shared" si="21"/>
        <v>-1.9368850227555277</v>
      </c>
    </row>
    <row r="25" spans="1:20" ht="15.75" customHeight="1">
      <c r="A25" s="8">
        <v>18</v>
      </c>
      <c r="B25" s="20">
        <f t="array" ref="B25">NelsonSiegelAugmentedSpotRate($A$5,$B$5,$C$5,$D$5,$E$5,$F$5,A25)</f>
        <v>5.3096541139226489E-2</v>
      </c>
      <c r="C25" s="8"/>
      <c r="D25" s="8"/>
      <c r="E25" s="8"/>
      <c r="F25" s="8"/>
      <c r="G25" s="8">
        <v>6</v>
      </c>
      <c r="H25" s="21">
        <v>5</v>
      </c>
      <c r="J25" s="21">
        <f t="shared" si="12"/>
        <v>3.66573348180787</v>
      </c>
      <c r="K25" s="21">
        <f t="shared" si="13"/>
        <v>3.679188225377779</v>
      </c>
      <c r="M25" s="22">
        <f t="shared" si="14"/>
        <v>0.73583764507555582</v>
      </c>
      <c r="N25" s="22">
        <f t="shared" si="15"/>
        <v>0.42850633789307757</v>
      </c>
      <c r="O25" s="22">
        <f t="shared" si="16"/>
        <v>0.20687629828921475</v>
      </c>
      <c r="P25" s="22">
        <f t="shared" si="17"/>
        <v>6.1314905851651662E-2</v>
      </c>
      <c r="Q25" s="15">
        <f t="shared" si="18"/>
        <v>-22.075129352266675</v>
      </c>
      <c r="R25" s="15">
        <f t="shared" si="19"/>
        <v>-12.855190136792327</v>
      </c>
      <c r="S25" s="15">
        <f t="shared" si="20"/>
        <v>-6.2062889486764421</v>
      </c>
      <c r="T25" s="15">
        <f t="shared" si="21"/>
        <v>-1.8394471755495498</v>
      </c>
    </row>
    <row r="26" spans="1:20" ht="15.75" customHeight="1">
      <c r="A26" s="8">
        <v>19</v>
      </c>
      <c r="B26" s="20">
        <f t="array" ref="B26">NelsonSiegelAugmentedSpotRate($A$5,$B$5,$C$5,$D$5,$E$5,$F$5,A26)</f>
        <v>5.3188507372013701E-2</v>
      </c>
      <c r="C26" s="8"/>
      <c r="D26" s="8"/>
      <c r="E26" s="8"/>
      <c r="F26" s="8"/>
      <c r="G26" s="8">
        <v>7</v>
      </c>
      <c r="H26" s="21">
        <v>105</v>
      </c>
      <c r="J26" s="21">
        <f t="shared" si="12"/>
        <v>73.054423795459243</v>
      </c>
      <c r="K26" s="21">
        <f t="shared" si="13"/>
        <v>73.302139025223468</v>
      </c>
      <c r="M26" s="22">
        <f t="shared" si="14"/>
        <v>0.69811560976403297</v>
      </c>
      <c r="N26" s="22">
        <f t="shared" si="15"/>
        <v>0.37568744279712796</v>
      </c>
      <c r="O26" s="22">
        <f t="shared" si="16"/>
        <v>0.20353425294907412</v>
      </c>
      <c r="P26" s="22">
        <f t="shared" si="17"/>
        <v>4.9864778729739385E-2</v>
      </c>
      <c r="Q26" s="15">
        <f t="shared" si="18"/>
        <v>-513.11497317656426</v>
      </c>
      <c r="R26" s="15">
        <f t="shared" si="19"/>
        <v>-276.13027045588905</v>
      </c>
      <c r="S26" s="15">
        <f t="shared" si="20"/>
        <v>-149.59767591756949</v>
      </c>
      <c r="T26" s="15">
        <f t="shared" si="21"/>
        <v>-36.650612366358452</v>
      </c>
    </row>
    <row r="27" spans="1:20" ht="15.75" customHeight="1">
      <c r="A27" s="8">
        <v>20</v>
      </c>
      <c r="B27" s="20">
        <f t="array" ref="B27">NelsonSiegelAugmentedSpotRate($A$5,$B$5,$C$5,$D$5,$E$5,$F$5,A27)</f>
        <v>5.3272894548610922E-2</v>
      </c>
      <c r="C27" s="8"/>
      <c r="D27" s="8"/>
      <c r="E27" s="8"/>
      <c r="F27" s="8"/>
      <c r="G27" s="8"/>
    </row>
    <row r="28" spans="1:20" ht="15.75" customHeight="1">
      <c r="A28" s="8"/>
      <c r="B28" s="8"/>
      <c r="C28" s="8"/>
      <c r="D28" s="8"/>
      <c r="E28" s="8"/>
      <c r="F28" s="8"/>
      <c r="G28" s="8"/>
      <c r="H28" s="16" t="s">
        <v>70</v>
      </c>
      <c r="I28" s="21"/>
      <c r="J28" s="21">
        <f t="shared" ref="J28:K28" si="22">SUM(J20:J26)</f>
        <v>98.199300059166163</v>
      </c>
      <c r="K28" s="21">
        <f t="shared" si="22"/>
        <v>98.485866161319592</v>
      </c>
      <c r="L28" s="21"/>
      <c r="M28" s="23"/>
      <c r="N28" s="16" t="s">
        <v>71</v>
      </c>
      <c r="Q28" s="15">
        <f t="shared" ref="Q28:T28" si="23">SUM(Q20:Q26)</f>
        <v>-597.53024131940003</v>
      </c>
      <c r="R28" s="15">
        <f t="shared" si="23"/>
        <v>-333.88705827547398</v>
      </c>
      <c r="S28" s="15">
        <f t="shared" si="23"/>
        <v>-169.24472530198881</v>
      </c>
      <c r="T28" s="15">
        <f t="shared" si="23"/>
        <v>-48.027799585519446</v>
      </c>
    </row>
    <row r="29" spans="1:20" ht="15.75" customHeight="1">
      <c r="A29" s="8"/>
      <c r="B29" s="8"/>
      <c r="C29" s="8"/>
      <c r="D29" s="8"/>
      <c r="E29" s="8"/>
      <c r="F29" s="8"/>
      <c r="G29" s="8"/>
      <c r="H29" s="21"/>
      <c r="I29" s="21"/>
      <c r="J29" s="21"/>
      <c r="K29" s="21"/>
      <c r="L29" s="21"/>
      <c r="M29" s="23"/>
    </row>
    <row r="30" spans="1:20" ht="15.75" customHeight="1">
      <c r="A30" s="8"/>
      <c r="B30" s="8"/>
      <c r="C30" s="8"/>
      <c r="D30" s="8"/>
      <c r="E30" s="8"/>
      <c r="F30" s="8"/>
      <c r="G30" s="8"/>
      <c r="H30" s="21"/>
      <c r="I30" s="21"/>
      <c r="J30" s="16" t="s">
        <v>72</v>
      </c>
      <c r="K30" s="8"/>
      <c r="L30" s="21">
        <v>19.88</v>
      </c>
      <c r="M30" s="23"/>
    </row>
    <row r="31" spans="1:2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</row>
    <row r="32" spans="1:20" ht="15.75" customHeight="1"/>
    <row r="33" spans="7:20" ht="15.75" customHeight="1">
      <c r="G33" s="18" t="s">
        <v>74</v>
      </c>
      <c r="H33" s="8"/>
      <c r="I33" s="8"/>
      <c r="J33" s="8"/>
      <c r="K33" s="8"/>
      <c r="L33" s="8"/>
      <c r="M33" s="8"/>
    </row>
    <row r="34" spans="7:20" ht="15.75" customHeight="1">
      <c r="G34" s="16" t="s">
        <v>56</v>
      </c>
      <c r="H34" s="16" t="s">
        <v>58</v>
      </c>
      <c r="I34" s="16" t="s">
        <v>59</v>
      </c>
      <c r="J34" s="16" t="s">
        <v>57</v>
      </c>
      <c r="K34" s="19" t="s">
        <v>60</v>
      </c>
      <c r="L34" s="16" t="s">
        <v>61</v>
      </c>
      <c r="M34" s="16" t="s">
        <v>62</v>
      </c>
      <c r="N34" s="16" t="s">
        <v>63</v>
      </c>
      <c r="O34" s="16" t="s">
        <v>64</v>
      </c>
      <c r="P34" s="16" t="s">
        <v>65</v>
      </c>
      <c r="Q34" s="16" t="s">
        <v>66</v>
      </c>
      <c r="R34" s="16" t="s">
        <v>67</v>
      </c>
      <c r="S34" s="16" t="s">
        <v>68</v>
      </c>
      <c r="T34" s="16" t="s">
        <v>69</v>
      </c>
    </row>
    <row r="35" spans="7:20" ht="15.75" customHeight="1">
      <c r="G35" s="8">
        <v>1</v>
      </c>
      <c r="H35" s="21">
        <v>6</v>
      </c>
      <c r="I35" s="21"/>
      <c r="J35" s="21">
        <f t="shared" ref="J35:J49" si="24">H35/(1+B8)^G35</f>
        <v>5.7036167209326765</v>
      </c>
      <c r="K35" s="21">
        <f t="shared" ref="K35:K49" si="25">H35*M35</f>
        <v>5.6961777207068218</v>
      </c>
      <c r="L35" s="21"/>
      <c r="M35" s="22">
        <f t="shared" ref="M35:M49" si="26">EXP(-G35*B8)</f>
        <v>0.94936295345113697</v>
      </c>
      <c r="N35" s="22">
        <f t="shared" ref="N35:N49" si="27">M35*(1-EXP(-G35/$D$5))*$D$5/G35</f>
        <v>0.86045153813875297</v>
      </c>
      <c r="O35" s="22">
        <f t="shared" ref="O35:O49" si="28">M35*((1-EXP(-G35/$D$5))*$D$5/G35-EXP(-G35/$D$5))</f>
        <v>8.3178892315366612E-2</v>
      </c>
      <c r="P35" s="22">
        <f t="shared" ref="P35:P49" si="29">M35*((1-EXP(-G35/$F$5))*$F$5/G35-EXP(-G35/$F$5))</f>
        <v>0.28195802042608331</v>
      </c>
      <c r="Q35" s="15">
        <f t="shared" ref="Q35:Q49" si="30">-G35*H35*M35</f>
        <v>-5.6961777207068218</v>
      </c>
      <c r="R35" s="15">
        <f t="shared" ref="R35:R49" si="31">-G35*H35*N35</f>
        <v>-5.1627092288325178</v>
      </c>
      <c r="S35" s="15">
        <f t="shared" ref="S35:S49" si="32">-G35*H35*O35</f>
        <v>-0.49907335389219964</v>
      </c>
      <c r="T35" s="15">
        <f t="shared" ref="T35:T49" si="33">-G35*H35*P35</f>
        <v>-1.6917481225564999</v>
      </c>
    </row>
    <row r="36" spans="7:20" ht="15.75" customHeight="1">
      <c r="G36" s="8">
        <v>2</v>
      </c>
      <c r="H36" s="21">
        <v>6</v>
      </c>
      <c r="I36" s="21"/>
      <c r="J36" s="21">
        <f t="shared" si="24"/>
        <v>5.4271359848672942</v>
      </c>
      <c r="K36" s="21">
        <f t="shared" si="25"/>
        <v>5.4132599459611868</v>
      </c>
      <c r="L36" s="21"/>
      <c r="M36" s="22">
        <f t="shared" si="26"/>
        <v>0.90220999099353105</v>
      </c>
      <c r="N36" s="22">
        <f t="shared" si="27"/>
        <v>0.7436013707423339</v>
      </c>
      <c r="O36" s="22">
        <f t="shared" si="28"/>
        <v>0.13883192804573646</v>
      </c>
      <c r="P36" s="22">
        <f t="shared" si="29"/>
        <v>0.20489680725232573</v>
      </c>
      <c r="Q36" s="15">
        <f t="shared" si="30"/>
        <v>-10.826519891922374</v>
      </c>
      <c r="R36" s="15">
        <f t="shared" si="31"/>
        <v>-8.9232164489080077</v>
      </c>
      <c r="S36" s="15">
        <f t="shared" si="32"/>
        <v>-1.6659831365488376</v>
      </c>
      <c r="T36" s="15">
        <f t="shared" si="33"/>
        <v>-2.4587616870279088</v>
      </c>
    </row>
    <row r="37" spans="7:20" ht="15.75" customHeight="1">
      <c r="G37" s="8">
        <v>3</v>
      </c>
      <c r="H37" s="21">
        <v>6</v>
      </c>
      <c r="I37" s="21"/>
      <c r="J37" s="21">
        <f t="shared" si="24"/>
        <v>5.1688520880371973</v>
      </c>
      <c r="K37" s="21">
        <f t="shared" si="25"/>
        <v>5.1494138525761883</v>
      </c>
      <c r="L37" s="21"/>
      <c r="M37" s="22">
        <f t="shared" si="26"/>
        <v>0.85823564209603143</v>
      </c>
      <c r="N37" s="22">
        <f t="shared" si="27"/>
        <v>0.6453765586718353</v>
      </c>
      <c r="O37" s="22">
        <f t="shared" si="28"/>
        <v>0.17436685177890499</v>
      </c>
      <c r="P37" s="22">
        <f t="shared" si="29"/>
        <v>0.14055736130574403</v>
      </c>
      <c r="Q37" s="15">
        <f t="shared" si="30"/>
        <v>-15.448241557728565</v>
      </c>
      <c r="R37" s="15">
        <f t="shared" si="31"/>
        <v>-11.616778056093036</v>
      </c>
      <c r="S37" s="15">
        <f t="shared" si="32"/>
        <v>-3.1386033320202897</v>
      </c>
      <c r="T37" s="15">
        <f t="shared" si="33"/>
        <v>-2.5300325035033926</v>
      </c>
    </row>
    <row r="38" spans="7:20" ht="15.75" customHeight="1">
      <c r="G38" s="8">
        <v>4</v>
      </c>
      <c r="H38" s="21">
        <v>6</v>
      </c>
      <c r="I38" s="21"/>
      <c r="J38" s="21">
        <f t="shared" si="24"/>
        <v>4.9202992832361572</v>
      </c>
      <c r="K38" s="21">
        <f t="shared" si="25"/>
        <v>4.895748489763931</v>
      </c>
      <c r="L38" s="21"/>
      <c r="M38" s="22">
        <f t="shared" si="26"/>
        <v>0.81595808162732186</v>
      </c>
      <c r="N38" s="22">
        <f t="shared" si="27"/>
        <v>0.56165560255830249</v>
      </c>
      <c r="O38" s="22">
        <f t="shared" si="28"/>
        <v>0.19502200297762268</v>
      </c>
      <c r="P38" s="22">
        <f t="shared" si="29"/>
        <v>0.10168682133080412</v>
      </c>
      <c r="Q38" s="15">
        <f t="shared" si="30"/>
        <v>-19.582993959055724</v>
      </c>
      <c r="R38" s="15">
        <f t="shared" si="31"/>
        <v>-13.479734461399261</v>
      </c>
      <c r="S38" s="15">
        <f t="shared" si="32"/>
        <v>-4.6805280714629447</v>
      </c>
      <c r="T38" s="15">
        <f t="shared" si="33"/>
        <v>-2.440483711939299</v>
      </c>
    </row>
    <row r="39" spans="7:20" ht="15.75" customHeight="1">
      <c r="G39" s="8">
        <v>5</v>
      </c>
      <c r="H39" s="21">
        <v>6</v>
      </c>
      <c r="J39" s="21">
        <f t="shared" si="24"/>
        <v>4.6801247722130261</v>
      </c>
      <c r="K39" s="21">
        <f t="shared" si="25"/>
        <v>4.6508466838538798</v>
      </c>
      <c r="M39" s="22">
        <f t="shared" si="26"/>
        <v>0.77514111397564667</v>
      </c>
      <c r="N39" s="22">
        <f t="shared" si="27"/>
        <v>0.4899826341372765</v>
      </c>
      <c r="O39" s="22">
        <f t="shared" si="28"/>
        <v>0.2048241542989063</v>
      </c>
      <c r="P39" s="22">
        <f t="shared" si="29"/>
        <v>7.7475400910221107E-2</v>
      </c>
      <c r="Q39" s="15">
        <f t="shared" si="30"/>
        <v>-23.254233419269401</v>
      </c>
      <c r="R39" s="15">
        <f t="shared" si="31"/>
        <v>-14.699479024118295</v>
      </c>
      <c r="S39" s="15">
        <f t="shared" si="32"/>
        <v>-6.1447246289671886</v>
      </c>
      <c r="T39" s="15">
        <f t="shared" si="33"/>
        <v>-2.324262027306633</v>
      </c>
    </row>
    <row r="40" spans="7:20" ht="15.75" customHeight="1">
      <c r="G40" s="8">
        <v>6</v>
      </c>
      <c r="H40" s="21">
        <v>6</v>
      </c>
      <c r="J40" s="21">
        <f t="shared" si="24"/>
        <v>4.4486352921180368</v>
      </c>
      <c r="K40" s="21">
        <f t="shared" si="25"/>
        <v>4.4150258704533352</v>
      </c>
      <c r="M40" s="22">
        <f t="shared" si="26"/>
        <v>0.73583764507555582</v>
      </c>
      <c r="N40" s="22">
        <f t="shared" si="27"/>
        <v>0.42850633789307757</v>
      </c>
      <c r="O40" s="22">
        <f t="shared" si="28"/>
        <v>0.20687629828921475</v>
      </c>
      <c r="P40" s="22">
        <f t="shared" si="29"/>
        <v>6.1314905851651662E-2</v>
      </c>
      <c r="Q40" s="15">
        <f t="shared" si="30"/>
        <v>-26.490155222720009</v>
      </c>
      <c r="R40" s="15">
        <f t="shared" si="31"/>
        <v>-15.426228164150793</v>
      </c>
      <c r="S40" s="15">
        <f t="shared" si="32"/>
        <v>-7.4475467384117309</v>
      </c>
      <c r="T40" s="15">
        <f t="shared" si="33"/>
        <v>-2.2073366106594596</v>
      </c>
    </row>
    <row r="41" spans="7:20" ht="15.75" customHeight="1">
      <c r="G41" s="8">
        <v>7</v>
      </c>
      <c r="H41" s="21">
        <v>6</v>
      </c>
      <c r="J41" s="21">
        <f t="shared" si="24"/>
        <v>4.2262271202378603</v>
      </c>
      <c r="K41" s="21">
        <f t="shared" si="25"/>
        <v>4.1886936585841976</v>
      </c>
      <c r="M41" s="22">
        <f t="shared" si="26"/>
        <v>0.69811560976403297</v>
      </c>
      <c r="N41" s="22">
        <f t="shared" si="27"/>
        <v>0.37568744279712796</v>
      </c>
      <c r="O41" s="22">
        <f t="shared" si="28"/>
        <v>0.20353425294907412</v>
      </c>
      <c r="P41" s="22">
        <f t="shared" si="29"/>
        <v>4.9864778729739385E-2</v>
      </c>
      <c r="Q41" s="15">
        <f t="shared" si="30"/>
        <v>-29.320855610089385</v>
      </c>
      <c r="R41" s="15">
        <f t="shared" si="31"/>
        <v>-15.778872597479374</v>
      </c>
      <c r="S41" s="15">
        <f t="shared" si="32"/>
        <v>-8.548438623861113</v>
      </c>
      <c r="T41" s="15">
        <f t="shared" si="33"/>
        <v>-2.0943207066490541</v>
      </c>
    </row>
    <row r="42" spans="7:20" ht="15.75" customHeight="1">
      <c r="G42" s="8">
        <v>8</v>
      </c>
      <c r="H42" s="21">
        <v>6</v>
      </c>
      <c r="J42" s="21">
        <f t="shared" si="24"/>
        <v>4.0131265562057852</v>
      </c>
      <c r="K42" s="21">
        <f t="shared" si="25"/>
        <v>3.9720777368136275</v>
      </c>
      <c r="M42" s="22">
        <f t="shared" si="26"/>
        <v>0.66201295613560462</v>
      </c>
      <c r="N42" s="22">
        <f t="shared" si="27"/>
        <v>0.33022177839029843</v>
      </c>
      <c r="O42" s="22">
        <f t="shared" si="28"/>
        <v>0.19656366767917138</v>
      </c>
      <c r="P42" s="22">
        <f t="shared" si="29"/>
        <v>4.1375730602497621E-2</v>
      </c>
      <c r="Q42" s="15">
        <f t="shared" si="30"/>
        <v>-31.77662189450902</v>
      </c>
      <c r="R42" s="15">
        <f t="shared" si="31"/>
        <v>-15.850645362734324</v>
      </c>
      <c r="S42" s="15">
        <f t="shared" si="32"/>
        <v>-9.4350560486002273</v>
      </c>
      <c r="T42" s="15">
        <f t="shared" si="33"/>
        <v>-1.9860350689198858</v>
      </c>
    </row>
    <row r="43" spans="7:20" ht="15.75" customHeight="1">
      <c r="G43" s="8">
        <v>9</v>
      </c>
      <c r="H43" s="21">
        <v>6</v>
      </c>
      <c r="J43" s="21">
        <f t="shared" si="24"/>
        <v>3.8093920168164646</v>
      </c>
      <c r="K43" s="21">
        <f t="shared" si="25"/>
        <v>3.7652291105863194</v>
      </c>
      <c r="M43" s="22">
        <f t="shared" si="26"/>
        <v>0.62753818509771986</v>
      </c>
      <c r="N43" s="22">
        <f t="shared" si="27"/>
        <v>0.29100378932470811</v>
      </c>
      <c r="O43" s="22">
        <f t="shared" si="28"/>
        <v>0.18727242501146285</v>
      </c>
      <c r="P43" s="22">
        <f t="shared" si="29"/>
        <v>3.4863222417068712E-2</v>
      </c>
      <c r="Q43" s="15">
        <f t="shared" si="30"/>
        <v>-33.887061995276873</v>
      </c>
      <c r="R43" s="15">
        <f t="shared" si="31"/>
        <v>-15.714204623534238</v>
      </c>
      <c r="S43" s="15">
        <f t="shared" si="32"/>
        <v>-10.112710950618993</v>
      </c>
      <c r="T43" s="15">
        <f t="shared" si="33"/>
        <v>-1.8826140105217104</v>
      </c>
    </row>
    <row r="44" spans="7:20" ht="15.75" customHeight="1">
      <c r="G44" s="8">
        <v>10</v>
      </c>
      <c r="H44" s="21">
        <v>6</v>
      </c>
      <c r="J44" s="21">
        <f t="shared" si="24"/>
        <v>3.6149520147670233</v>
      </c>
      <c r="K44" s="21">
        <f t="shared" si="25"/>
        <v>3.5680625120141194</v>
      </c>
      <c r="M44" s="22">
        <f t="shared" si="26"/>
        <v>0.59467708533568653</v>
      </c>
      <c r="N44" s="22">
        <f t="shared" si="27"/>
        <v>0.25709814677872905</v>
      </c>
      <c r="O44" s="22">
        <f t="shared" si="28"/>
        <v>0.1766173550005006</v>
      </c>
      <c r="P44" s="22">
        <f t="shared" si="29"/>
        <v>2.9733852979777459E-2</v>
      </c>
      <c r="Q44" s="15">
        <f t="shared" si="30"/>
        <v>-35.680625120141194</v>
      </c>
      <c r="R44" s="15">
        <f t="shared" si="31"/>
        <v>-15.425888806723743</v>
      </c>
      <c r="S44" s="15">
        <f t="shared" si="32"/>
        <v>-10.597041300030035</v>
      </c>
      <c r="T44" s="15">
        <f t="shared" si="33"/>
        <v>-1.7840311787866474</v>
      </c>
    </row>
    <row r="45" spans="7:20" ht="15.75" customHeight="1">
      <c r="G45" s="8">
        <v>11</v>
      </c>
      <c r="H45" s="21">
        <v>6</v>
      </c>
      <c r="J45" s="21">
        <f t="shared" si="24"/>
        <v>3.4296403110756217</v>
      </c>
      <c r="K45" s="21">
        <f t="shared" si="25"/>
        <v>3.3803936320750827</v>
      </c>
      <c r="M45" s="22">
        <f t="shared" si="26"/>
        <v>0.56339893867918045</v>
      </c>
      <c r="N45" s="22">
        <f t="shared" si="27"/>
        <v>0.22771479857070015</v>
      </c>
      <c r="O45" s="22">
        <f t="shared" si="28"/>
        <v>0.16528841674706016</v>
      </c>
      <c r="P45" s="22">
        <f t="shared" si="29"/>
        <v>2.5609042502933579E-2</v>
      </c>
      <c r="Q45" s="15">
        <f t="shared" si="30"/>
        <v>-37.184329952825912</v>
      </c>
      <c r="R45" s="15">
        <f t="shared" si="31"/>
        <v>-15.02917670566621</v>
      </c>
      <c r="S45" s="15">
        <f t="shared" si="32"/>
        <v>-10.909035505305971</v>
      </c>
      <c r="T45" s="15">
        <f t="shared" si="33"/>
        <v>-1.6901968051936163</v>
      </c>
    </row>
    <row r="46" spans="7:20" ht="15.75" customHeight="1">
      <c r="G46" s="8">
        <v>12</v>
      </c>
      <c r="H46" s="21">
        <v>6</v>
      </c>
      <c r="J46" s="21">
        <f t="shared" si="24"/>
        <v>3.253223699315638</v>
      </c>
      <c r="K46" s="21">
        <f t="shared" si="25"/>
        <v>3.2019684995334985</v>
      </c>
      <c r="M46" s="22">
        <f t="shared" si="26"/>
        <v>0.53366141658891642</v>
      </c>
      <c r="N46" s="22">
        <f t="shared" si="27"/>
        <v>0.20218697713601727</v>
      </c>
      <c r="O46" s="22">
        <f t="shared" si="28"/>
        <v>0.15377430567354222</v>
      </c>
      <c r="P46" s="22">
        <f t="shared" si="29"/>
        <v>2.2235892336885648E-2</v>
      </c>
      <c r="Q46" s="15">
        <f t="shared" si="30"/>
        <v>-38.423621994401984</v>
      </c>
      <c r="R46" s="15">
        <f t="shared" si="31"/>
        <v>-14.557462353793243</v>
      </c>
      <c r="S46" s="15">
        <f t="shared" si="32"/>
        <v>-11.071750008495041</v>
      </c>
      <c r="T46" s="15">
        <f t="shared" si="33"/>
        <v>-1.6009842482557666</v>
      </c>
    </row>
    <row r="47" spans="7:20" ht="15.75" customHeight="1">
      <c r="G47" s="8">
        <v>13</v>
      </c>
      <c r="H47" s="21">
        <v>6</v>
      </c>
      <c r="J47" s="21">
        <f t="shared" si="24"/>
        <v>3.0854232441131302</v>
      </c>
      <c r="K47" s="21">
        <f t="shared" si="25"/>
        <v>3.0324859076732089</v>
      </c>
      <c r="M47" s="22">
        <f t="shared" si="26"/>
        <v>0.50541431794553482</v>
      </c>
      <c r="N47" s="22">
        <f t="shared" si="27"/>
        <v>0.17995207233498572</v>
      </c>
      <c r="O47" s="22">
        <f t="shared" si="28"/>
        <v>0.14241314246041387</v>
      </c>
      <c r="P47" s="22">
        <f t="shared" si="29"/>
        <v>1.9439012225992893E-2</v>
      </c>
      <c r="Q47" s="15">
        <f t="shared" si="30"/>
        <v>-39.422316799751712</v>
      </c>
      <c r="R47" s="15">
        <f t="shared" si="31"/>
        <v>-14.036261642128887</v>
      </c>
      <c r="S47" s="15">
        <f t="shared" si="32"/>
        <v>-11.108225111912281</v>
      </c>
      <c r="T47" s="15">
        <f t="shared" si="33"/>
        <v>-1.5162429536274458</v>
      </c>
    </row>
    <row r="48" spans="7:20" ht="15.75" customHeight="1">
      <c r="G48" s="8">
        <v>14</v>
      </c>
      <c r="H48" s="21">
        <v>6</v>
      </c>
      <c r="J48" s="21">
        <f t="shared" si="24"/>
        <v>2.9259303296091157</v>
      </c>
      <c r="K48" s="21">
        <f t="shared" si="25"/>
        <v>2.8716143338186599</v>
      </c>
      <c r="M48" s="22">
        <f t="shared" si="26"/>
        <v>0.47860238896977669</v>
      </c>
      <c r="N48" s="22">
        <f t="shared" si="27"/>
        <v>0.16053519561569488</v>
      </c>
      <c r="O48" s="22">
        <f t="shared" si="28"/>
        <v>0.13143135436986383</v>
      </c>
      <c r="P48" s="22">
        <f t="shared" si="29"/>
        <v>1.7092942462863567E-2</v>
      </c>
      <c r="Q48" s="15">
        <f t="shared" si="30"/>
        <v>-40.202600673461241</v>
      </c>
      <c r="R48" s="15">
        <f t="shared" si="31"/>
        <v>-13.48495643171837</v>
      </c>
      <c r="S48" s="15">
        <f t="shared" si="32"/>
        <v>-11.040233767068562</v>
      </c>
      <c r="T48" s="15">
        <f t="shared" si="33"/>
        <v>-1.4358071668805397</v>
      </c>
    </row>
    <row r="49" spans="1:20" ht="15.75" customHeight="1">
      <c r="G49" s="8">
        <v>15</v>
      </c>
      <c r="H49" s="21">
        <v>106</v>
      </c>
      <c r="J49" s="21">
        <f t="shared" si="24"/>
        <v>49.014730215784049</v>
      </c>
      <c r="K49" s="21">
        <f t="shared" si="25"/>
        <v>48.035747920348797</v>
      </c>
      <c r="M49" s="22">
        <f t="shared" si="26"/>
        <v>0.45316743321083769</v>
      </c>
      <c r="N49" s="22">
        <f t="shared" si="27"/>
        <v>0.14353518507716012</v>
      </c>
      <c r="O49" s="22">
        <f t="shared" si="28"/>
        <v>0.1209733070978027</v>
      </c>
      <c r="P49" s="22">
        <f t="shared" si="29"/>
        <v>1.5105581106984102E-2</v>
      </c>
      <c r="Q49" s="15">
        <f t="shared" si="30"/>
        <v>-720.5362188052319</v>
      </c>
      <c r="R49" s="15">
        <f t="shared" si="31"/>
        <v>-228.22094427268459</v>
      </c>
      <c r="S49" s="15">
        <f t="shared" si="32"/>
        <v>-192.3475582855063</v>
      </c>
      <c r="T49" s="15">
        <f t="shared" si="33"/>
        <v>-24.017873960104723</v>
      </c>
    </row>
    <row r="50" spans="1:20" ht="15.75" customHeight="1"/>
    <row r="51" spans="1:20" ht="15.75" customHeight="1"/>
    <row r="52" spans="1:20" ht="15.75" customHeight="1">
      <c r="H52" s="16" t="s">
        <v>70</v>
      </c>
      <c r="I52" s="21"/>
      <c r="J52" s="21">
        <f t="shared" ref="J52:K52" si="34">SUM(J35:J49)</f>
        <v>107.72130964932907</v>
      </c>
      <c r="K52" s="21">
        <f t="shared" si="34"/>
        <v>106.23674587476287</v>
      </c>
      <c r="L52" s="21"/>
      <c r="M52" s="23"/>
      <c r="N52" s="16" t="s">
        <v>71</v>
      </c>
      <c r="Q52" s="15">
        <f t="shared" ref="Q52:T52" si="35">SUM(Q35:Q49)</f>
        <v>-1107.732574617092</v>
      </c>
      <c r="R52" s="15">
        <f t="shared" si="35"/>
        <v>-417.40655817996492</v>
      </c>
      <c r="S52" s="15">
        <f t="shared" si="35"/>
        <v>-298.74650886270172</v>
      </c>
      <c r="T52" s="15">
        <f t="shared" si="35"/>
        <v>-51.660730761932584</v>
      </c>
    </row>
    <row r="53" spans="1:20" ht="15.75" customHeight="1">
      <c r="H53" s="21"/>
      <c r="I53" s="21"/>
      <c r="J53" s="21"/>
      <c r="K53" s="21"/>
      <c r="L53" s="21"/>
      <c r="M53" s="23"/>
    </row>
    <row r="54" spans="1:20" ht="15.75" customHeight="1">
      <c r="H54" s="21"/>
      <c r="I54" s="21"/>
      <c r="J54" s="16" t="s">
        <v>72</v>
      </c>
      <c r="K54" s="8"/>
      <c r="L54" s="21">
        <v>19.88</v>
      </c>
      <c r="M54" s="23"/>
    </row>
    <row r="55" spans="1:20" ht="15.75" customHeight="1"/>
    <row r="56" spans="1:20" ht="15.75" customHeight="1"/>
    <row r="57" spans="1:20" ht="15.75" customHeight="1">
      <c r="A57" s="19" t="s">
        <v>82</v>
      </c>
      <c r="B57" s="19" t="s">
        <v>83</v>
      </c>
      <c r="C57" s="19" t="s">
        <v>84</v>
      </c>
      <c r="D57" s="19" t="s">
        <v>85</v>
      </c>
      <c r="E57" s="19" t="s">
        <v>86</v>
      </c>
      <c r="F57" s="19" t="s">
        <v>87</v>
      </c>
      <c r="H57" s="16" t="s">
        <v>75</v>
      </c>
      <c r="I57" s="16" t="s">
        <v>55</v>
      </c>
      <c r="J57" s="16" t="s">
        <v>73</v>
      </c>
      <c r="K57" s="16" t="s">
        <v>74</v>
      </c>
      <c r="L57" s="19"/>
      <c r="M57" s="16" t="s">
        <v>70</v>
      </c>
      <c r="N57" s="16" t="s">
        <v>76</v>
      </c>
      <c r="O57" s="16" t="s">
        <v>77</v>
      </c>
      <c r="P57" s="16" t="s">
        <v>78</v>
      </c>
      <c r="Q57" s="19" t="s">
        <v>79</v>
      </c>
    </row>
    <row r="58" spans="1:20" ht="15.75" customHeight="1">
      <c r="A58" s="17">
        <f>A5-'Q3(a) &amp; (b)'!A5</f>
        <v>-3.9999999999999966E-3</v>
      </c>
      <c r="B58" s="17">
        <f>B5-'Q3(a) &amp; (b)'!B5</f>
        <v>6.0000000000000001E-3</v>
      </c>
      <c r="C58" s="17">
        <f>C5-'Q3(a) &amp; (b)'!C5</f>
        <v>6.0000000000000001E-3</v>
      </c>
      <c r="D58" s="17">
        <f>D5-'Q3(a) &amp; (b)'!D5</f>
        <v>0</v>
      </c>
      <c r="E58" s="17">
        <f>E5-'Q3(a) &amp; (b)'!E5</f>
        <v>0.01</v>
      </c>
      <c r="F58" s="17">
        <f>F5-'Q3(a) &amp; (b)'!F5</f>
        <v>0</v>
      </c>
      <c r="H58" s="15" t="s">
        <v>80</v>
      </c>
      <c r="I58" s="15">
        <v>100</v>
      </c>
      <c r="J58" s="15">
        <v>200</v>
      </c>
      <c r="K58" s="15">
        <v>100</v>
      </c>
      <c r="M58" s="15">
        <f>I58*$K$12 + J58*$K$28 + K58*$K$52</f>
        <v>39987.127675316799</v>
      </c>
      <c r="N58" s="15">
        <f>I58*$Q$12 + J58*$Q$28 + K58*$Q$52</f>
        <v>-258157.77093316067</v>
      </c>
      <c r="O58" s="15">
        <f>I58*$R$12 + J58*$R$28 + K58*$R$52</f>
        <v>-129592.87781550192</v>
      </c>
      <c r="P58" s="15">
        <f>I58*$S$12 + J58*$S$28 + K58*$S$52</f>
        <v>-69308.178821532507</v>
      </c>
      <c r="Q58" s="15">
        <f>I58*$T$12 + J58*$T$28 + K58*$T$52</f>
        <v>-19433.723320008656</v>
      </c>
    </row>
    <row r="59" spans="1:20" ht="15.75" customHeight="1"/>
    <row r="60" spans="1:20" ht="15.75" customHeight="1"/>
    <row r="61" spans="1:20" ht="15.75" customHeight="1">
      <c r="L61" s="16" t="s">
        <v>88</v>
      </c>
      <c r="M61" s="16" t="s">
        <v>89</v>
      </c>
      <c r="N61" s="16" t="s">
        <v>90</v>
      </c>
      <c r="O61" s="16" t="s">
        <v>91</v>
      </c>
      <c r="P61" s="16" t="s">
        <v>92</v>
      </c>
      <c r="Q61" s="19" t="s">
        <v>93</v>
      </c>
      <c r="R61" s="19"/>
      <c r="S61" s="19" t="s">
        <v>94</v>
      </c>
    </row>
    <row r="62" spans="1:20" ht="15.75" customHeight="1">
      <c r="L62" s="15">
        <f>'Q3(a) &amp; (b)'!L58</f>
        <v>40344.258932845223</v>
      </c>
      <c r="M62" s="15">
        <f>M58-'Q3(a) &amp; (b)'!L58</f>
        <v>-357.13125752842461</v>
      </c>
      <c r="N62" s="15">
        <f>N58-'Q3(a) &amp; (b)'!M58</f>
        <v>1811.851782397338</v>
      </c>
      <c r="O62" s="15">
        <f>O58-'Q3(a) &amp; (b)'!N58</f>
        <v>1097.0612043599685</v>
      </c>
      <c r="P62" s="15">
        <f>P58-'Q3(a) &amp; (b)'!O58</f>
        <v>493.27042000331858</v>
      </c>
      <c r="Q62" s="15">
        <f>Q58-'Q3(a) &amp; (b)'!P58</f>
        <v>175.03714379520534</v>
      </c>
      <c r="S62" s="25">
        <f>L62+'Q3(a) &amp; (b)'!M58*$A$58+'Q3(a) &amp; (b)'!N58*$B$58+'Q3(a) &amp; (b)'!O58*$C$58+'Q3(a) &amp; (b)'!P58*$E$58</f>
        <v>39985.10148950103</v>
      </c>
    </row>
    <row r="63" spans="1:20" ht="15.75" customHeight="1"/>
    <row r="64" spans="1:20" ht="15.75" customHeight="1">
      <c r="L64" s="30" t="s">
        <v>95</v>
      </c>
      <c r="M64" s="27"/>
      <c r="N64" s="27"/>
      <c r="O64" s="27"/>
      <c r="P64" s="27"/>
      <c r="Q64" s="27"/>
      <c r="R64" s="27"/>
      <c r="S64" s="27"/>
    </row>
    <row r="65" spans="12:19" ht="15.75" customHeight="1">
      <c r="L65" s="27"/>
      <c r="M65" s="27"/>
      <c r="N65" s="27"/>
      <c r="O65" s="27"/>
      <c r="P65" s="27"/>
      <c r="Q65" s="27"/>
      <c r="R65" s="27"/>
      <c r="S65" s="27"/>
    </row>
    <row r="66" spans="12:19" ht="15.75" customHeight="1"/>
    <row r="67" spans="12:19" ht="15.75" customHeight="1"/>
    <row r="68" spans="12:19" ht="15.75" customHeight="1"/>
    <row r="69" spans="12:19" ht="15.75" customHeight="1"/>
    <row r="70" spans="12:19" ht="15.75" customHeight="1"/>
    <row r="71" spans="12:19" ht="15.75" customHeight="1"/>
    <row r="72" spans="12:19" ht="15.75" customHeight="1"/>
    <row r="73" spans="12:19" ht="15.75" customHeight="1"/>
    <row r="74" spans="12:19" ht="15.75" customHeight="1"/>
    <row r="75" spans="12:19" ht="15.75" customHeight="1"/>
    <row r="76" spans="12:19" ht="15.75" customHeight="1"/>
    <row r="77" spans="12:19" ht="15.75" customHeight="1"/>
    <row r="78" spans="12:19" ht="15.75" customHeight="1"/>
    <row r="79" spans="12:19" ht="15.75" customHeight="1"/>
    <row r="80" spans="12:19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L64:S65"/>
  </mergeCell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Q1</vt:lpstr>
      <vt:lpstr>Q2</vt:lpstr>
      <vt:lpstr>Q3(a) &amp; (b)</vt:lpstr>
      <vt:lpstr>Q3(c) &amp; (d)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Wei Hao Tan</dc:creator>
  <cp:lastModifiedBy>dubthro@outlook.com</cp:lastModifiedBy>
  <dcterms:created xsi:type="dcterms:W3CDTF">2024-09-11T01:37:28Z</dcterms:created>
  <dcterms:modified xsi:type="dcterms:W3CDTF">2024-09-15T08:04:31Z</dcterms:modified>
</cp:coreProperties>
</file>